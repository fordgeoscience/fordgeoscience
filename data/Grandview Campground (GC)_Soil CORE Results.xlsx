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olostate-my.sharepoint.com/personal/c837147179_colostate_edu/Documents/3_Research_Microplastics/Fieldwork &amp; Related Data/2025_08 Field Season_Grandview Campground/"/>
    </mc:Choice>
  </mc:AlternateContent>
  <xr:revisionPtr revIDLastSave="5378" documentId="8_{0E1803C4-D134-42B8-9CFC-94EA8FA97810}" xr6:coauthVersionLast="47" xr6:coauthVersionMax="47" xr10:uidLastSave="{C226E9DF-7F9C-4FBF-9781-E3CD1BE5E6CC}"/>
  <bookViews>
    <workbookView xWindow="-120" yWindow="-120" windowWidth="29040" windowHeight="15720" activeTab="4" xr2:uid="{99735B78-7ABC-472F-A09C-8C73AE068531}"/>
  </bookViews>
  <sheets>
    <sheet name="Original Data" sheetId="1" r:id="rId1"/>
    <sheet name="Recombined Samples" sheetId="3" r:id="rId2"/>
    <sheet name="Shaker Time Test" sheetId="5" r:id="rId3"/>
    <sheet name="pH&amp;EC" sheetId="6" r:id="rId4"/>
    <sheet name="Texture" sheetId="7" r:id="rId5"/>
  </sheets>
  <definedNames>
    <definedName name="_xlnm._FilterDatabase" localSheetId="0" hidden="1">'Original Data'!$A$14:$S$440</definedName>
    <definedName name="_xlnm._FilterDatabase" localSheetId="3" hidden="1">'pH&amp;EC'!$A$1:$D$81</definedName>
    <definedName name="_xlnm._FilterDatabase" localSheetId="1" hidden="1">'Recombined Samples'!$A$1:$Y$427</definedName>
    <definedName name="_xlnm._FilterDatabase" localSheetId="4" hidden="1">Texture!$A$1:$R$81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6" i="7" l="1"/>
  <c r="R75" i="7"/>
  <c r="R12" i="7"/>
  <c r="R11" i="7"/>
  <c r="R10" i="7"/>
  <c r="R9" i="7"/>
  <c r="R8" i="7"/>
  <c r="R7" i="7"/>
  <c r="R6" i="7"/>
  <c r="R5" i="7"/>
  <c r="R13" i="7"/>
  <c r="R14" i="7"/>
  <c r="R15" i="7"/>
  <c r="R16" i="7"/>
  <c r="R17" i="7"/>
  <c r="R62" i="7"/>
  <c r="R27" i="7"/>
  <c r="R26" i="7"/>
  <c r="R74" i="7"/>
  <c r="R25" i="7"/>
  <c r="R24" i="7"/>
  <c r="R23" i="7"/>
  <c r="R22" i="7"/>
  <c r="R20" i="7"/>
  <c r="R19" i="7"/>
  <c r="R71" i="7"/>
  <c r="R61" i="7"/>
  <c r="R60" i="7"/>
  <c r="R59" i="7"/>
  <c r="R57" i="7"/>
  <c r="R55" i="7"/>
  <c r="R34" i="7"/>
  <c r="R70" i="7"/>
  <c r="R69" i="7"/>
  <c r="R37" i="7"/>
  <c r="R38" i="7"/>
  <c r="R58" i="7"/>
  <c r="R56" i="7"/>
  <c r="R41" i="7"/>
  <c r="R53" i="7"/>
  <c r="R43" i="7"/>
  <c r="R44" i="7"/>
  <c r="R45" i="7"/>
  <c r="R46" i="7"/>
  <c r="R47" i="7"/>
  <c r="R48" i="7"/>
  <c r="R49" i="7"/>
  <c r="R30" i="7"/>
  <c r="R52" i="7"/>
  <c r="R51" i="7"/>
  <c r="R42" i="7"/>
  <c r="R54" i="7"/>
  <c r="R50" i="7"/>
  <c r="R40" i="7"/>
  <c r="R33" i="7"/>
  <c r="R39" i="7"/>
  <c r="R32" i="7"/>
  <c r="R31" i="7"/>
  <c r="R29" i="7"/>
  <c r="R18" i="7"/>
  <c r="R63" i="7"/>
  <c r="R64" i="7"/>
  <c r="R65" i="7"/>
  <c r="R81" i="7"/>
  <c r="R73" i="7"/>
  <c r="R72" i="7"/>
  <c r="R36" i="7"/>
  <c r="R35" i="7"/>
  <c r="R28" i="7"/>
  <c r="R68" i="7"/>
  <c r="R67" i="7"/>
  <c r="R21" i="7"/>
  <c r="R4" i="7"/>
  <c r="R3" i="7"/>
  <c r="R80" i="7"/>
  <c r="R79" i="7"/>
  <c r="R78" i="7"/>
  <c r="R77" i="7"/>
  <c r="R66" i="7"/>
  <c r="G76" i="7"/>
  <c r="G75" i="7"/>
  <c r="G12" i="7"/>
  <c r="G11" i="7"/>
  <c r="G10" i="7"/>
  <c r="G9" i="7"/>
  <c r="G8" i="7"/>
  <c r="G7" i="7"/>
  <c r="G6" i="7"/>
  <c r="G5" i="7"/>
  <c r="G13" i="7"/>
  <c r="G14" i="7"/>
  <c r="G15" i="7"/>
  <c r="G16" i="7"/>
  <c r="G17" i="7"/>
  <c r="G62" i="7"/>
  <c r="G27" i="7"/>
  <c r="G26" i="7"/>
  <c r="G74" i="7"/>
  <c r="G25" i="7"/>
  <c r="G24" i="7"/>
  <c r="G23" i="7"/>
  <c r="G22" i="7"/>
  <c r="G20" i="7"/>
  <c r="G19" i="7"/>
  <c r="G71" i="7"/>
  <c r="G61" i="7"/>
  <c r="G60" i="7"/>
  <c r="G59" i="7"/>
  <c r="G57" i="7"/>
  <c r="G55" i="7"/>
  <c r="G34" i="7"/>
  <c r="G70" i="7"/>
  <c r="G69" i="7"/>
  <c r="G37" i="7"/>
  <c r="G38" i="7"/>
  <c r="G58" i="7"/>
  <c r="G56" i="7"/>
  <c r="G41" i="7"/>
  <c r="G53" i="7"/>
  <c r="G43" i="7"/>
  <c r="G44" i="7"/>
  <c r="G45" i="7"/>
  <c r="G46" i="7"/>
  <c r="G47" i="7"/>
  <c r="G48" i="7"/>
  <c r="G49" i="7"/>
  <c r="G30" i="7"/>
  <c r="G52" i="7"/>
  <c r="G51" i="7"/>
  <c r="G42" i="7"/>
  <c r="G54" i="7"/>
  <c r="G50" i="7"/>
  <c r="G40" i="7"/>
  <c r="G33" i="7"/>
  <c r="G39" i="7"/>
  <c r="G32" i="7"/>
  <c r="G31" i="7"/>
  <c r="G29" i="7"/>
  <c r="G18" i="7"/>
  <c r="G63" i="7"/>
  <c r="G64" i="7"/>
  <c r="G65" i="7"/>
  <c r="G81" i="7"/>
  <c r="G73" i="7"/>
  <c r="G72" i="7"/>
  <c r="G36" i="7"/>
  <c r="G35" i="7"/>
  <c r="G28" i="7"/>
  <c r="G68" i="7"/>
  <c r="G67" i="7"/>
  <c r="G21" i="7"/>
  <c r="G4" i="7"/>
  <c r="G3" i="7"/>
  <c r="G80" i="7"/>
  <c r="G79" i="7"/>
  <c r="G78" i="7"/>
  <c r="G77" i="7"/>
  <c r="G66" i="7"/>
  <c r="F76" i="7"/>
  <c r="L76" i="7" s="1"/>
  <c r="F75" i="7"/>
  <c r="L75" i="7" s="1"/>
  <c r="F12" i="7"/>
  <c r="L12" i="7" s="1"/>
  <c r="F11" i="7"/>
  <c r="L11" i="7" s="1"/>
  <c r="F10" i="7"/>
  <c r="L10" i="7" s="1"/>
  <c r="F9" i="7"/>
  <c r="L9" i="7" s="1"/>
  <c r="F8" i="7"/>
  <c r="L8" i="7" s="1"/>
  <c r="F7" i="7"/>
  <c r="L7" i="7" s="1"/>
  <c r="F6" i="7"/>
  <c r="L6" i="7" s="1"/>
  <c r="F5" i="7"/>
  <c r="L5" i="7" s="1"/>
  <c r="F13" i="7"/>
  <c r="L13" i="7" s="1"/>
  <c r="F14" i="7"/>
  <c r="L14" i="7" s="1"/>
  <c r="F15" i="7"/>
  <c r="L15" i="7" s="1"/>
  <c r="F16" i="7"/>
  <c r="L16" i="7" s="1"/>
  <c r="F17" i="7"/>
  <c r="L17" i="7" s="1"/>
  <c r="F62" i="7"/>
  <c r="L62" i="7" s="1"/>
  <c r="F27" i="7"/>
  <c r="L27" i="7" s="1"/>
  <c r="F26" i="7"/>
  <c r="L26" i="7" s="1"/>
  <c r="F74" i="7"/>
  <c r="L74" i="7" s="1"/>
  <c r="F25" i="7"/>
  <c r="L25" i="7" s="1"/>
  <c r="F24" i="7"/>
  <c r="L24" i="7" s="1"/>
  <c r="F23" i="7"/>
  <c r="L23" i="7" s="1"/>
  <c r="F22" i="7"/>
  <c r="L22" i="7" s="1"/>
  <c r="F20" i="7"/>
  <c r="L20" i="7" s="1"/>
  <c r="F19" i="7"/>
  <c r="L19" i="7" s="1"/>
  <c r="F71" i="7"/>
  <c r="L71" i="7" s="1"/>
  <c r="F61" i="7"/>
  <c r="L61" i="7" s="1"/>
  <c r="F60" i="7"/>
  <c r="L60" i="7" s="1"/>
  <c r="F59" i="7"/>
  <c r="L59" i="7" s="1"/>
  <c r="F57" i="7"/>
  <c r="L57" i="7" s="1"/>
  <c r="F55" i="7"/>
  <c r="L55" i="7" s="1"/>
  <c r="F34" i="7"/>
  <c r="L34" i="7" s="1"/>
  <c r="F70" i="7"/>
  <c r="L70" i="7" s="1"/>
  <c r="F69" i="7"/>
  <c r="L69" i="7" s="1"/>
  <c r="F37" i="7"/>
  <c r="L37" i="7" s="1"/>
  <c r="F38" i="7"/>
  <c r="L38" i="7" s="1"/>
  <c r="F58" i="7"/>
  <c r="L58" i="7" s="1"/>
  <c r="F56" i="7"/>
  <c r="L56" i="7" s="1"/>
  <c r="F41" i="7"/>
  <c r="L41" i="7" s="1"/>
  <c r="F53" i="7"/>
  <c r="L53" i="7" s="1"/>
  <c r="F43" i="7"/>
  <c r="L43" i="7" s="1"/>
  <c r="F44" i="7"/>
  <c r="L44" i="7" s="1"/>
  <c r="F45" i="7"/>
  <c r="L45" i="7" s="1"/>
  <c r="F46" i="7"/>
  <c r="L46" i="7" s="1"/>
  <c r="F47" i="7"/>
  <c r="L47" i="7" s="1"/>
  <c r="F48" i="7"/>
  <c r="L48" i="7" s="1"/>
  <c r="F49" i="7"/>
  <c r="L49" i="7" s="1"/>
  <c r="F30" i="7"/>
  <c r="L30" i="7" s="1"/>
  <c r="F52" i="7"/>
  <c r="L52" i="7" s="1"/>
  <c r="F51" i="7"/>
  <c r="L51" i="7" s="1"/>
  <c r="F42" i="7"/>
  <c r="L42" i="7" s="1"/>
  <c r="F54" i="7"/>
  <c r="L54" i="7" s="1"/>
  <c r="F50" i="7"/>
  <c r="L50" i="7" s="1"/>
  <c r="F40" i="7"/>
  <c r="L40" i="7" s="1"/>
  <c r="F33" i="7"/>
  <c r="L33" i="7" s="1"/>
  <c r="F39" i="7"/>
  <c r="L39" i="7" s="1"/>
  <c r="F32" i="7"/>
  <c r="L32" i="7" s="1"/>
  <c r="F31" i="7"/>
  <c r="L31" i="7" s="1"/>
  <c r="F29" i="7"/>
  <c r="L29" i="7" s="1"/>
  <c r="F18" i="7"/>
  <c r="L18" i="7" s="1"/>
  <c r="F63" i="7"/>
  <c r="L63" i="7" s="1"/>
  <c r="F64" i="7"/>
  <c r="L64" i="7" s="1"/>
  <c r="F65" i="7"/>
  <c r="L65" i="7" s="1"/>
  <c r="F81" i="7"/>
  <c r="L81" i="7" s="1"/>
  <c r="F73" i="7"/>
  <c r="L73" i="7" s="1"/>
  <c r="F72" i="7"/>
  <c r="L72" i="7" s="1"/>
  <c r="F36" i="7"/>
  <c r="L36" i="7" s="1"/>
  <c r="F35" i="7"/>
  <c r="L35" i="7" s="1"/>
  <c r="F28" i="7"/>
  <c r="L28" i="7" s="1"/>
  <c r="F68" i="7"/>
  <c r="L68" i="7" s="1"/>
  <c r="F67" i="7"/>
  <c r="L67" i="7" s="1"/>
  <c r="F21" i="7"/>
  <c r="L21" i="7" s="1"/>
  <c r="F4" i="7"/>
  <c r="L4" i="7" s="1"/>
  <c r="F3" i="7"/>
  <c r="L3" i="7" s="1"/>
  <c r="F80" i="7"/>
  <c r="L80" i="7" s="1"/>
  <c r="F79" i="7"/>
  <c r="L79" i="7" s="1"/>
  <c r="F78" i="7"/>
  <c r="L78" i="7" s="1"/>
  <c r="F77" i="7"/>
  <c r="L77" i="7" s="1"/>
  <c r="F66" i="7"/>
  <c r="L66" i="7" s="1"/>
  <c r="F2" i="7"/>
  <c r="L2" i="7" s="1"/>
  <c r="R2" i="7"/>
  <c r="G2" i="7"/>
  <c r="N12" i="5"/>
  <c r="M12" i="5"/>
  <c r="J12" i="5"/>
  <c r="K12" i="5"/>
  <c r="L12" i="5"/>
  <c r="H12" i="5"/>
  <c r="I12" i="5"/>
  <c r="H11" i="5"/>
  <c r="I11" i="5"/>
  <c r="J11" i="5"/>
  <c r="K11" i="5"/>
  <c r="L11" i="5"/>
  <c r="M11" i="5"/>
  <c r="N11" i="5"/>
  <c r="I9" i="5"/>
  <c r="J9" i="5"/>
  <c r="K9" i="5"/>
  <c r="L9" i="5"/>
  <c r="M9" i="5"/>
  <c r="N9" i="5"/>
  <c r="I10" i="5"/>
  <c r="J10" i="5"/>
  <c r="K10" i="5"/>
  <c r="L10" i="5"/>
  <c r="M10" i="5"/>
  <c r="N10" i="5"/>
  <c r="H10" i="5"/>
  <c r="H9" i="5"/>
  <c r="W214" i="3"/>
  <c r="W213" i="3"/>
  <c r="W261" i="3"/>
  <c r="W262" i="3"/>
  <c r="W263" i="3"/>
  <c r="W264" i="3"/>
  <c r="W265" i="3"/>
  <c r="W266" i="3"/>
  <c r="W267" i="3"/>
  <c r="W268" i="3"/>
  <c r="W269" i="3"/>
  <c r="W249" i="3"/>
  <c r="W217" i="3"/>
  <c r="W223" i="3"/>
  <c r="W250" i="3"/>
  <c r="W218" i="3"/>
  <c r="W224" i="3"/>
  <c r="W215" i="3"/>
  <c r="W245" i="3"/>
  <c r="W257" i="3"/>
  <c r="W237" i="3"/>
  <c r="W235" i="3"/>
  <c r="W216" i="3"/>
  <c r="W246" i="3"/>
  <c r="W258" i="3"/>
  <c r="W238" i="3"/>
  <c r="W236" i="3"/>
  <c r="W219" i="3"/>
  <c r="W227" i="3"/>
  <c r="W251" i="3"/>
  <c r="W243" i="3"/>
  <c r="W231" i="3"/>
  <c r="W220" i="3"/>
  <c r="W228" i="3"/>
  <c r="W252" i="3"/>
  <c r="W244" i="3"/>
  <c r="W232" i="3"/>
  <c r="W221" i="3"/>
  <c r="W241" i="3"/>
  <c r="W233" i="3"/>
  <c r="W259" i="3"/>
  <c r="W247" i="3"/>
  <c r="W222" i="3"/>
  <c r="W242" i="3"/>
  <c r="W234" i="3"/>
  <c r="W260" i="3"/>
  <c r="W248" i="3"/>
  <c r="W239" i="3"/>
  <c r="W225" i="3"/>
  <c r="W229" i="3"/>
  <c r="W253" i="3"/>
  <c r="W255" i="3"/>
  <c r="W240" i="3"/>
  <c r="W226" i="3"/>
  <c r="W230" i="3"/>
  <c r="W254" i="3"/>
  <c r="W256"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T377" i="3"/>
  <c r="T374" i="3"/>
  <c r="T427" i="3"/>
  <c r="T422" i="3"/>
  <c r="T417" i="3"/>
  <c r="T412" i="3"/>
  <c r="T407" i="3"/>
  <c r="T402" i="3"/>
  <c r="T397" i="3"/>
  <c r="T392" i="3"/>
  <c r="T387" i="3"/>
  <c r="T382" i="3"/>
  <c r="T269" i="3"/>
  <c r="T267" i="3"/>
  <c r="T256" i="3"/>
  <c r="T255" i="3"/>
  <c r="T248" i="3"/>
  <c r="T247" i="3"/>
  <c r="T232" i="3"/>
  <c r="T231" i="3"/>
  <c r="T236" i="3"/>
  <c r="T235" i="3"/>
  <c r="T262" i="3"/>
  <c r="T261" i="3"/>
  <c r="T371" i="3"/>
  <c r="T426" i="3"/>
  <c r="T421" i="3"/>
  <c r="T416" i="3"/>
  <c r="T411" i="3"/>
  <c r="T406" i="3"/>
  <c r="T401" i="3"/>
  <c r="T396" i="3"/>
  <c r="T391" i="3"/>
  <c r="T386" i="3"/>
  <c r="T381" i="3"/>
  <c r="T268" i="3"/>
  <c r="T266" i="3"/>
  <c r="T254" i="3"/>
  <c r="T253" i="3"/>
  <c r="T260" i="3"/>
  <c r="T259" i="3"/>
  <c r="T244" i="3"/>
  <c r="T243" i="3"/>
  <c r="T238" i="3"/>
  <c r="T237" i="3"/>
  <c r="T224" i="3"/>
  <c r="T223" i="3"/>
  <c r="T376" i="3"/>
  <c r="T373" i="3"/>
  <c r="T425" i="3"/>
  <c r="T420" i="3"/>
  <c r="T415" i="3"/>
  <c r="T410" i="3"/>
  <c r="T405" i="3"/>
  <c r="T400" i="3"/>
  <c r="T395" i="3"/>
  <c r="T390" i="3"/>
  <c r="T385" i="3"/>
  <c r="T380" i="3"/>
  <c r="T265" i="3"/>
  <c r="T230" i="3"/>
  <c r="T229" i="3"/>
  <c r="T234" i="3"/>
  <c r="T233" i="3"/>
  <c r="T252" i="3"/>
  <c r="T251" i="3"/>
  <c r="T258" i="3"/>
  <c r="T257" i="3"/>
  <c r="T218" i="3"/>
  <c r="T217" i="3"/>
  <c r="T370" i="3"/>
  <c r="T424" i="3"/>
  <c r="T419" i="3"/>
  <c r="T414" i="3"/>
  <c r="T409" i="3"/>
  <c r="T404" i="3"/>
  <c r="T399" i="3"/>
  <c r="T394" i="3"/>
  <c r="T389" i="3"/>
  <c r="T384" i="3"/>
  <c r="T379" i="3"/>
  <c r="T264" i="3"/>
  <c r="T226" i="3"/>
  <c r="T225" i="3"/>
  <c r="T242" i="3"/>
  <c r="T241" i="3"/>
  <c r="T228" i="3"/>
  <c r="T227" i="3"/>
  <c r="T246" i="3"/>
  <c r="T245" i="3"/>
  <c r="T250" i="3"/>
  <c r="T249" i="3"/>
  <c r="T375" i="3"/>
  <c r="T372" i="3"/>
  <c r="T423" i="3"/>
  <c r="T418" i="3"/>
  <c r="T413" i="3"/>
  <c r="T408" i="3"/>
  <c r="T403" i="3"/>
  <c r="T398" i="3"/>
  <c r="T393" i="3"/>
  <c r="T388" i="3"/>
  <c r="T383" i="3"/>
  <c r="T378" i="3"/>
  <c r="T263" i="3"/>
  <c r="T240" i="3"/>
  <c r="T239" i="3"/>
  <c r="T222" i="3"/>
  <c r="T221" i="3"/>
  <c r="T220" i="3"/>
  <c r="T219" i="3"/>
  <c r="T216" i="3"/>
  <c r="T215" i="3"/>
  <c r="T214" i="3"/>
  <c r="T213" i="3"/>
  <c r="O375" i="3"/>
  <c r="P375" i="3" s="1"/>
  <c r="L375" i="3"/>
  <c r="K375" i="3"/>
  <c r="O372" i="3"/>
  <c r="P372" i="3" s="1"/>
  <c r="L372" i="3"/>
  <c r="K372" i="3"/>
  <c r="O365" i="3"/>
  <c r="P365" i="3" s="1"/>
  <c r="L365" i="3"/>
  <c r="K365" i="3"/>
  <c r="O320" i="3"/>
  <c r="P320" i="3" s="1"/>
  <c r="L320" i="3"/>
  <c r="K320" i="3"/>
  <c r="O325" i="3"/>
  <c r="P325" i="3" s="1"/>
  <c r="L325" i="3"/>
  <c r="K325" i="3"/>
  <c r="O330" i="3"/>
  <c r="P330" i="3" s="1"/>
  <c r="L330" i="3"/>
  <c r="K330" i="3"/>
  <c r="O335" i="3"/>
  <c r="P335" i="3" s="1"/>
  <c r="L335" i="3"/>
  <c r="K335" i="3"/>
  <c r="O340" i="3"/>
  <c r="P340" i="3" s="1"/>
  <c r="L340" i="3"/>
  <c r="K340" i="3"/>
  <c r="O345" i="3"/>
  <c r="P345" i="3" s="1"/>
  <c r="L345" i="3"/>
  <c r="K345" i="3"/>
  <c r="O350" i="3"/>
  <c r="P350" i="3" s="1"/>
  <c r="L350" i="3"/>
  <c r="K350" i="3"/>
  <c r="O355" i="3"/>
  <c r="P355" i="3" s="1"/>
  <c r="L355" i="3"/>
  <c r="K355" i="3"/>
  <c r="O360" i="3"/>
  <c r="P360" i="3" s="1"/>
  <c r="L360" i="3"/>
  <c r="K360" i="3"/>
  <c r="O423" i="3"/>
  <c r="P423" i="3" s="1"/>
  <c r="L423" i="3"/>
  <c r="K423" i="3"/>
  <c r="O418" i="3"/>
  <c r="P418" i="3" s="1"/>
  <c r="L418" i="3"/>
  <c r="K418" i="3"/>
  <c r="O413" i="3"/>
  <c r="P413" i="3" s="1"/>
  <c r="L413" i="3"/>
  <c r="K413" i="3"/>
  <c r="O408" i="3"/>
  <c r="P408" i="3" s="1"/>
  <c r="L408" i="3"/>
  <c r="K408" i="3"/>
  <c r="O403" i="3"/>
  <c r="P403" i="3" s="1"/>
  <c r="L403" i="3"/>
  <c r="K403" i="3"/>
  <c r="O398" i="3"/>
  <c r="P398" i="3" s="1"/>
  <c r="L398" i="3"/>
  <c r="K398" i="3"/>
  <c r="O393" i="3"/>
  <c r="P393" i="3" s="1"/>
  <c r="L393" i="3"/>
  <c r="K393" i="3"/>
  <c r="O388" i="3"/>
  <c r="P388" i="3" s="1"/>
  <c r="L388" i="3"/>
  <c r="K388" i="3"/>
  <c r="O383" i="3"/>
  <c r="P383" i="3" s="1"/>
  <c r="L383" i="3"/>
  <c r="K383" i="3"/>
  <c r="O378" i="3"/>
  <c r="P378" i="3" s="1"/>
  <c r="L378" i="3"/>
  <c r="K378" i="3"/>
  <c r="O371" i="3"/>
  <c r="P371" i="3" s="1"/>
  <c r="L371" i="3"/>
  <c r="K371" i="3"/>
  <c r="O368" i="3"/>
  <c r="P368" i="3" s="1"/>
  <c r="L368" i="3"/>
  <c r="K368" i="3"/>
  <c r="O323" i="3"/>
  <c r="P323" i="3" s="1"/>
  <c r="L323" i="3"/>
  <c r="K323" i="3"/>
  <c r="O328" i="3"/>
  <c r="P328" i="3" s="1"/>
  <c r="L328" i="3"/>
  <c r="K328" i="3"/>
  <c r="O333" i="3"/>
  <c r="P333" i="3" s="1"/>
  <c r="L333" i="3"/>
  <c r="K333" i="3"/>
  <c r="O338" i="3"/>
  <c r="P338" i="3" s="1"/>
  <c r="L338" i="3"/>
  <c r="K338" i="3"/>
  <c r="O343" i="3"/>
  <c r="P343" i="3" s="1"/>
  <c r="L343" i="3"/>
  <c r="K343" i="3"/>
  <c r="O348" i="3"/>
  <c r="P348" i="3" s="1"/>
  <c r="L348" i="3"/>
  <c r="K348" i="3"/>
  <c r="O353" i="3"/>
  <c r="P353" i="3" s="1"/>
  <c r="L353" i="3"/>
  <c r="K353" i="3"/>
  <c r="O358" i="3"/>
  <c r="P358" i="3" s="1"/>
  <c r="L358" i="3"/>
  <c r="K358" i="3"/>
  <c r="O363" i="3"/>
  <c r="P363" i="3" s="1"/>
  <c r="L363" i="3"/>
  <c r="K363" i="3"/>
  <c r="O426" i="3"/>
  <c r="P426" i="3" s="1"/>
  <c r="L426" i="3"/>
  <c r="K426" i="3"/>
  <c r="O421" i="3"/>
  <c r="P421" i="3" s="1"/>
  <c r="L421" i="3"/>
  <c r="K421" i="3"/>
  <c r="O416" i="3"/>
  <c r="P416" i="3" s="1"/>
  <c r="L416" i="3"/>
  <c r="K416" i="3"/>
  <c r="O411" i="3"/>
  <c r="P411" i="3" s="1"/>
  <c r="L411" i="3"/>
  <c r="K411" i="3"/>
  <c r="O406" i="3"/>
  <c r="P406" i="3" s="1"/>
  <c r="L406" i="3"/>
  <c r="K406" i="3"/>
  <c r="O401" i="3"/>
  <c r="P401" i="3" s="1"/>
  <c r="L401" i="3"/>
  <c r="K401" i="3"/>
  <c r="O396" i="3"/>
  <c r="P396" i="3" s="1"/>
  <c r="L396" i="3"/>
  <c r="K396" i="3"/>
  <c r="O391" i="3"/>
  <c r="P391" i="3" s="1"/>
  <c r="L391" i="3"/>
  <c r="K391" i="3"/>
  <c r="O386" i="3"/>
  <c r="P386" i="3" s="1"/>
  <c r="L386" i="3"/>
  <c r="K386" i="3"/>
  <c r="O381" i="3"/>
  <c r="P381" i="3" s="1"/>
  <c r="L381" i="3"/>
  <c r="K381" i="3"/>
  <c r="O370" i="3"/>
  <c r="P370" i="3" s="1"/>
  <c r="L370" i="3"/>
  <c r="K370" i="3"/>
  <c r="O366" i="3"/>
  <c r="P366" i="3" s="1"/>
  <c r="L366" i="3"/>
  <c r="K366" i="3"/>
  <c r="O321" i="3"/>
  <c r="P321" i="3" s="1"/>
  <c r="L321" i="3"/>
  <c r="K321" i="3"/>
  <c r="O326" i="3"/>
  <c r="P326" i="3" s="1"/>
  <c r="L326" i="3"/>
  <c r="K326" i="3"/>
  <c r="O331" i="3"/>
  <c r="P331" i="3" s="1"/>
  <c r="L331" i="3"/>
  <c r="K331" i="3"/>
  <c r="O336" i="3"/>
  <c r="P336" i="3" s="1"/>
  <c r="L336" i="3"/>
  <c r="K336" i="3"/>
  <c r="O341" i="3"/>
  <c r="P341" i="3" s="1"/>
  <c r="L341" i="3"/>
  <c r="K341" i="3"/>
  <c r="O346" i="3"/>
  <c r="P346" i="3" s="1"/>
  <c r="L346" i="3"/>
  <c r="K346" i="3"/>
  <c r="O351" i="3"/>
  <c r="P351" i="3" s="1"/>
  <c r="L351" i="3"/>
  <c r="K351" i="3"/>
  <c r="O356" i="3"/>
  <c r="P356" i="3" s="1"/>
  <c r="L356" i="3"/>
  <c r="K356" i="3"/>
  <c r="O361" i="3"/>
  <c r="P361" i="3" s="1"/>
  <c r="L361" i="3"/>
  <c r="K361" i="3"/>
  <c r="O424" i="3"/>
  <c r="P424" i="3" s="1"/>
  <c r="L424" i="3"/>
  <c r="K424" i="3"/>
  <c r="O419" i="3"/>
  <c r="P419" i="3" s="1"/>
  <c r="L419" i="3"/>
  <c r="K419" i="3"/>
  <c r="O414" i="3"/>
  <c r="P414" i="3" s="1"/>
  <c r="L414" i="3"/>
  <c r="K414" i="3"/>
  <c r="O409" i="3"/>
  <c r="P409" i="3" s="1"/>
  <c r="L409" i="3"/>
  <c r="K409" i="3"/>
  <c r="O404" i="3"/>
  <c r="P404" i="3" s="1"/>
  <c r="L404" i="3"/>
  <c r="K404" i="3"/>
  <c r="O399" i="3"/>
  <c r="P399" i="3" s="1"/>
  <c r="L399" i="3"/>
  <c r="K399" i="3"/>
  <c r="O394" i="3"/>
  <c r="P394" i="3" s="1"/>
  <c r="L394" i="3"/>
  <c r="K394" i="3"/>
  <c r="O389" i="3"/>
  <c r="P389" i="3" s="1"/>
  <c r="L389" i="3"/>
  <c r="K389" i="3"/>
  <c r="O384" i="3"/>
  <c r="P384" i="3" s="1"/>
  <c r="L384" i="3"/>
  <c r="K384" i="3"/>
  <c r="O376" i="3"/>
  <c r="P376" i="3" s="1"/>
  <c r="L376" i="3"/>
  <c r="K376" i="3"/>
  <c r="O373" i="3"/>
  <c r="P373" i="3" s="1"/>
  <c r="L373" i="3"/>
  <c r="K373" i="3"/>
  <c r="O367" i="3"/>
  <c r="P367" i="3" s="1"/>
  <c r="L367" i="3"/>
  <c r="K367" i="3"/>
  <c r="O322" i="3"/>
  <c r="P322" i="3" s="1"/>
  <c r="L322" i="3"/>
  <c r="K322" i="3"/>
  <c r="O327" i="3"/>
  <c r="P327" i="3" s="1"/>
  <c r="L327" i="3"/>
  <c r="K327" i="3"/>
  <c r="O332" i="3"/>
  <c r="P332" i="3" s="1"/>
  <c r="L332" i="3"/>
  <c r="K332" i="3"/>
  <c r="O337" i="3"/>
  <c r="P337" i="3" s="1"/>
  <c r="L337" i="3"/>
  <c r="K337" i="3"/>
  <c r="O342" i="3"/>
  <c r="P342" i="3" s="1"/>
  <c r="L342" i="3"/>
  <c r="K342" i="3"/>
  <c r="O347" i="3"/>
  <c r="P347" i="3" s="1"/>
  <c r="L347" i="3"/>
  <c r="K347" i="3"/>
  <c r="O352" i="3"/>
  <c r="P352" i="3" s="1"/>
  <c r="L352" i="3"/>
  <c r="K352" i="3"/>
  <c r="O357" i="3"/>
  <c r="P357" i="3" s="1"/>
  <c r="L357" i="3"/>
  <c r="K357" i="3"/>
  <c r="O362" i="3"/>
  <c r="P362" i="3" s="1"/>
  <c r="L362" i="3"/>
  <c r="K362" i="3"/>
  <c r="O425" i="3"/>
  <c r="P425" i="3" s="1"/>
  <c r="L425" i="3"/>
  <c r="K425" i="3"/>
  <c r="O420" i="3"/>
  <c r="P420" i="3" s="1"/>
  <c r="L420" i="3"/>
  <c r="K420" i="3"/>
  <c r="O415" i="3"/>
  <c r="P415" i="3" s="1"/>
  <c r="L415" i="3"/>
  <c r="K415" i="3"/>
  <c r="O410" i="3"/>
  <c r="P410" i="3" s="1"/>
  <c r="L410" i="3"/>
  <c r="K410" i="3"/>
  <c r="O405" i="3"/>
  <c r="P405" i="3" s="1"/>
  <c r="L405" i="3"/>
  <c r="K405" i="3"/>
  <c r="O400" i="3"/>
  <c r="P400" i="3" s="1"/>
  <c r="L400" i="3"/>
  <c r="K400" i="3"/>
  <c r="O395" i="3"/>
  <c r="P395" i="3" s="1"/>
  <c r="L395" i="3"/>
  <c r="K395" i="3"/>
  <c r="O390" i="3"/>
  <c r="P390" i="3" s="1"/>
  <c r="L390" i="3"/>
  <c r="K390" i="3"/>
  <c r="O385" i="3"/>
  <c r="P385" i="3" s="1"/>
  <c r="L385" i="3"/>
  <c r="K385" i="3"/>
  <c r="O380" i="3"/>
  <c r="P380" i="3" s="1"/>
  <c r="L380" i="3"/>
  <c r="K380" i="3"/>
  <c r="O377" i="3"/>
  <c r="P377" i="3" s="1"/>
  <c r="L377" i="3"/>
  <c r="K377" i="3"/>
  <c r="O374" i="3"/>
  <c r="P374" i="3" s="1"/>
  <c r="L374" i="3"/>
  <c r="K374" i="3"/>
  <c r="O369" i="3"/>
  <c r="P369" i="3" s="1"/>
  <c r="L369" i="3"/>
  <c r="K369" i="3"/>
  <c r="O324" i="3"/>
  <c r="P324" i="3" s="1"/>
  <c r="L324" i="3"/>
  <c r="K324" i="3"/>
  <c r="O329" i="3"/>
  <c r="P329" i="3" s="1"/>
  <c r="L329" i="3"/>
  <c r="K329" i="3"/>
  <c r="O334" i="3"/>
  <c r="P334" i="3" s="1"/>
  <c r="L334" i="3"/>
  <c r="K334" i="3"/>
  <c r="O339" i="3"/>
  <c r="P339" i="3" s="1"/>
  <c r="L339" i="3"/>
  <c r="K339" i="3"/>
  <c r="O344" i="3"/>
  <c r="P344" i="3" s="1"/>
  <c r="L344" i="3"/>
  <c r="K344" i="3"/>
  <c r="O349" i="3"/>
  <c r="P349" i="3" s="1"/>
  <c r="L349" i="3"/>
  <c r="K349" i="3"/>
  <c r="O354" i="3"/>
  <c r="P354" i="3" s="1"/>
  <c r="L354" i="3"/>
  <c r="K354" i="3"/>
  <c r="O359" i="3"/>
  <c r="P359" i="3" s="1"/>
  <c r="L359" i="3"/>
  <c r="K359" i="3"/>
  <c r="O364" i="3"/>
  <c r="P364" i="3" s="1"/>
  <c r="L364" i="3"/>
  <c r="K364" i="3"/>
  <c r="O427" i="3"/>
  <c r="P427" i="3" s="1"/>
  <c r="L427" i="3"/>
  <c r="K427" i="3"/>
  <c r="O422" i="3"/>
  <c r="P422" i="3" s="1"/>
  <c r="L422" i="3"/>
  <c r="K422" i="3"/>
  <c r="O417" i="3"/>
  <c r="P417" i="3" s="1"/>
  <c r="L417" i="3"/>
  <c r="K417" i="3"/>
  <c r="O412" i="3"/>
  <c r="P412" i="3" s="1"/>
  <c r="L412" i="3"/>
  <c r="K412" i="3"/>
  <c r="O407" i="3"/>
  <c r="P407" i="3" s="1"/>
  <c r="L407" i="3"/>
  <c r="K407" i="3"/>
  <c r="O402" i="3"/>
  <c r="P402" i="3" s="1"/>
  <c r="L402" i="3"/>
  <c r="K402" i="3"/>
  <c r="O397" i="3"/>
  <c r="P397" i="3" s="1"/>
  <c r="L397" i="3"/>
  <c r="K397" i="3"/>
  <c r="O392" i="3"/>
  <c r="P392" i="3" s="1"/>
  <c r="L392" i="3"/>
  <c r="K392" i="3"/>
  <c r="O387" i="3"/>
  <c r="P387" i="3" s="1"/>
  <c r="L387" i="3"/>
  <c r="K387" i="3"/>
  <c r="O382" i="3"/>
  <c r="P382" i="3" s="1"/>
  <c r="L382" i="3"/>
  <c r="K382" i="3"/>
  <c r="O263" i="3"/>
  <c r="P263" i="3" s="1"/>
  <c r="L263" i="3"/>
  <c r="K263" i="3"/>
  <c r="O298" i="3"/>
  <c r="P298" i="3" s="1"/>
  <c r="L298" i="3"/>
  <c r="K298" i="3"/>
  <c r="O299" i="3"/>
  <c r="P299" i="3" s="1"/>
  <c r="L299" i="3"/>
  <c r="K299" i="3"/>
  <c r="O309" i="3"/>
  <c r="P309" i="3" s="1"/>
  <c r="L309" i="3"/>
  <c r="K309" i="3"/>
  <c r="O308" i="3"/>
  <c r="P308" i="3" s="1"/>
  <c r="L308" i="3"/>
  <c r="K308" i="3"/>
  <c r="O317" i="3"/>
  <c r="P317" i="3" s="1"/>
  <c r="L317" i="3"/>
  <c r="K317" i="3"/>
  <c r="O315" i="3"/>
  <c r="P315" i="3" s="1"/>
  <c r="L315" i="3"/>
  <c r="K315" i="3"/>
  <c r="O319" i="3"/>
  <c r="P319" i="3" s="1"/>
  <c r="L319" i="3"/>
  <c r="K319" i="3"/>
  <c r="O316" i="3"/>
  <c r="P316" i="3" s="1"/>
  <c r="L316" i="3"/>
  <c r="K316" i="3"/>
  <c r="O318" i="3"/>
  <c r="P318" i="3" s="1"/>
  <c r="L318" i="3"/>
  <c r="K318" i="3"/>
  <c r="O314" i="3"/>
  <c r="P314" i="3" s="1"/>
  <c r="L314" i="3"/>
  <c r="K314" i="3"/>
  <c r="O240" i="3"/>
  <c r="P240" i="3" s="1"/>
  <c r="L240" i="3"/>
  <c r="K240" i="3"/>
  <c r="O239" i="3"/>
  <c r="P239" i="3" s="1"/>
  <c r="L239" i="3"/>
  <c r="K239" i="3"/>
  <c r="O222" i="3"/>
  <c r="P222" i="3" s="1"/>
  <c r="L222" i="3"/>
  <c r="K222" i="3"/>
  <c r="O221" i="3"/>
  <c r="P221" i="3" s="1"/>
  <c r="L221" i="3"/>
  <c r="K221" i="3"/>
  <c r="O220" i="3"/>
  <c r="P220" i="3" s="1"/>
  <c r="L220" i="3"/>
  <c r="K220" i="3"/>
  <c r="O219" i="3"/>
  <c r="P219" i="3" s="1"/>
  <c r="L219" i="3"/>
  <c r="K219" i="3"/>
  <c r="O216" i="3"/>
  <c r="P216" i="3" s="1"/>
  <c r="L216" i="3"/>
  <c r="K216" i="3"/>
  <c r="O215" i="3"/>
  <c r="P215" i="3" s="1"/>
  <c r="L215" i="3"/>
  <c r="K215" i="3"/>
  <c r="O214" i="3"/>
  <c r="P214" i="3" s="1"/>
  <c r="L214" i="3"/>
  <c r="K214" i="3"/>
  <c r="O213" i="3"/>
  <c r="P213" i="3" s="1"/>
  <c r="L213" i="3"/>
  <c r="K213" i="3"/>
  <c r="O268" i="3"/>
  <c r="P268" i="3" s="1"/>
  <c r="L268" i="3"/>
  <c r="K268" i="3"/>
  <c r="O266" i="3"/>
  <c r="P266" i="3" s="1"/>
  <c r="L266" i="3"/>
  <c r="K266" i="3"/>
  <c r="O311" i="3"/>
  <c r="P311" i="3" s="1"/>
  <c r="L311" i="3"/>
  <c r="K311" i="3"/>
  <c r="O310" i="3"/>
  <c r="P310" i="3" s="1"/>
  <c r="L310" i="3"/>
  <c r="K310" i="3"/>
  <c r="O293" i="3"/>
  <c r="P293" i="3" s="1"/>
  <c r="L293" i="3"/>
  <c r="K293" i="3"/>
  <c r="O303" i="3"/>
  <c r="P303" i="3" s="1"/>
  <c r="L303" i="3"/>
  <c r="K303" i="3"/>
  <c r="O301" i="3"/>
  <c r="P301" i="3" s="1"/>
  <c r="L301" i="3"/>
  <c r="K301" i="3"/>
  <c r="O300" i="3"/>
  <c r="P300" i="3" s="1"/>
  <c r="L300" i="3"/>
  <c r="K300" i="3"/>
  <c r="O302" i="3"/>
  <c r="P302" i="3" s="1"/>
  <c r="L302" i="3"/>
  <c r="K302" i="3"/>
  <c r="O307" i="3"/>
  <c r="P307" i="3" s="1"/>
  <c r="L307" i="3"/>
  <c r="K307" i="3"/>
  <c r="O306" i="3"/>
  <c r="P306" i="3" s="1"/>
  <c r="L306" i="3"/>
  <c r="K306" i="3"/>
  <c r="O290" i="3"/>
  <c r="P290" i="3" s="1"/>
  <c r="L290" i="3"/>
  <c r="K290" i="3"/>
  <c r="O254" i="3"/>
  <c r="P254" i="3" s="1"/>
  <c r="L254" i="3"/>
  <c r="K254" i="3"/>
  <c r="O253" i="3"/>
  <c r="P253" i="3" s="1"/>
  <c r="L253" i="3"/>
  <c r="K253" i="3"/>
  <c r="O260" i="3"/>
  <c r="P260" i="3" s="1"/>
  <c r="L260" i="3"/>
  <c r="K260" i="3"/>
  <c r="O259" i="3"/>
  <c r="P259" i="3" s="1"/>
  <c r="L259" i="3"/>
  <c r="K259" i="3"/>
  <c r="O244" i="3"/>
  <c r="P244" i="3" s="1"/>
  <c r="L244" i="3"/>
  <c r="K244" i="3"/>
  <c r="O243" i="3"/>
  <c r="P243" i="3" s="1"/>
  <c r="L243" i="3"/>
  <c r="K243" i="3"/>
  <c r="O238" i="3"/>
  <c r="P238" i="3" s="1"/>
  <c r="L238" i="3"/>
  <c r="K238" i="3"/>
  <c r="O237" i="3"/>
  <c r="P237" i="3" s="1"/>
  <c r="L237" i="3"/>
  <c r="K237" i="3"/>
  <c r="O224" i="3"/>
  <c r="P224" i="3" s="1"/>
  <c r="L224" i="3"/>
  <c r="K224" i="3"/>
  <c r="O223" i="3"/>
  <c r="P223" i="3" s="1"/>
  <c r="L223" i="3"/>
  <c r="K223" i="3"/>
  <c r="O264" i="3"/>
  <c r="P264" i="3" s="1"/>
  <c r="L264" i="3"/>
  <c r="K264" i="3"/>
  <c r="O296" i="3"/>
  <c r="P296" i="3" s="1"/>
  <c r="L296" i="3"/>
  <c r="K296" i="3"/>
  <c r="O297" i="3"/>
  <c r="P297" i="3" s="1"/>
  <c r="L297" i="3"/>
  <c r="K297" i="3"/>
  <c r="O274" i="3"/>
  <c r="P274" i="3" s="1"/>
  <c r="L274" i="3"/>
  <c r="K274" i="3"/>
  <c r="O278" i="3"/>
  <c r="P278" i="3" s="1"/>
  <c r="L278" i="3"/>
  <c r="K278" i="3"/>
  <c r="O284" i="3"/>
  <c r="P284" i="3" s="1"/>
  <c r="L284" i="3"/>
  <c r="K284" i="3"/>
  <c r="O285" i="3"/>
  <c r="P285" i="3" s="1"/>
  <c r="L285" i="3"/>
  <c r="K285" i="3"/>
  <c r="O276" i="3"/>
  <c r="P276" i="3" s="1"/>
  <c r="L276" i="3"/>
  <c r="K276" i="3"/>
  <c r="O281" i="3"/>
  <c r="P281" i="3" s="1"/>
  <c r="L281" i="3"/>
  <c r="K281" i="3"/>
  <c r="O271" i="3"/>
  <c r="P271" i="3" s="1"/>
  <c r="L271" i="3"/>
  <c r="K271" i="3"/>
  <c r="O270" i="3"/>
  <c r="P270" i="3" s="1"/>
  <c r="L270" i="3"/>
  <c r="K270" i="3"/>
  <c r="O226" i="3"/>
  <c r="P226" i="3" s="1"/>
  <c r="L226" i="3"/>
  <c r="K226" i="3"/>
  <c r="O225" i="3"/>
  <c r="P225" i="3" s="1"/>
  <c r="L225" i="3"/>
  <c r="K225" i="3"/>
  <c r="O242" i="3"/>
  <c r="P242" i="3" s="1"/>
  <c r="L242" i="3"/>
  <c r="K242" i="3"/>
  <c r="O241" i="3"/>
  <c r="P241" i="3" s="1"/>
  <c r="L241" i="3"/>
  <c r="K241" i="3"/>
  <c r="O228" i="3"/>
  <c r="P228" i="3" s="1"/>
  <c r="L228" i="3"/>
  <c r="K228" i="3"/>
  <c r="O227" i="3"/>
  <c r="P227" i="3" s="1"/>
  <c r="L227" i="3"/>
  <c r="K227" i="3"/>
  <c r="O246" i="3"/>
  <c r="P246" i="3" s="1"/>
  <c r="L246" i="3"/>
  <c r="K246" i="3"/>
  <c r="O245" i="3"/>
  <c r="P245" i="3" s="1"/>
  <c r="L245" i="3"/>
  <c r="K245" i="3"/>
  <c r="O250" i="3"/>
  <c r="P250" i="3" s="1"/>
  <c r="L250" i="3"/>
  <c r="K250" i="3"/>
  <c r="O249" i="3"/>
  <c r="P249" i="3" s="1"/>
  <c r="L249" i="3"/>
  <c r="K249" i="3"/>
  <c r="O265" i="3"/>
  <c r="P265" i="3" s="1"/>
  <c r="O286" i="3"/>
  <c r="P286" i="3" s="1"/>
  <c r="L286" i="3"/>
  <c r="K286" i="3"/>
  <c r="O294" i="3"/>
  <c r="P294" i="3" s="1"/>
  <c r="L294" i="3"/>
  <c r="K294" i="3"/>
  <c r="O280" i="3"/>
  <c r="P280" i="3" s="1"/>
  <c r="L280" i="3"/>
  <c r="K280" i="3"/>
  <c r="O277" i="3"/>
  <c r="P277" i="3" s="1"/>
  <c r="L277" i="3"/>
  <c r="K277" i="3"/>
  <c r="O275" i="3"/>
  <c r="P275" i="3" s="1"/>
  <c r="L275" i="3"/>
  <c r="K275" i="3"/>
  <c r="O283" i="3"/>
  <c r="P283" i="3" s="1"/>
  <c r="L283" i="3"/>
  <c r="K283" i="3"/>
  <c r="O273" i="3"/>
  <c r="P273" i="3" s="1"/>
  <c r="L273" i="3"/>
  <c r="K273" i="3"/>
  <c r="O282" i="3"/>
  <c r="P282" i="3" s="1"/>
  <c r="L282" i="3"/>
  <c r="K282" i="3"/>
  <c r="O279" i="3"/>
  <c r="P279" i="3" s="1"/>
  <c r="L279" i="3"/>
  <c r="K279" i="3"/>
  <c r="O272" i="3"/>
  <c r="P272" i="3" s="1"/>
  <c r="L272" i="3"/>
  <c r="K272" i="3"/>
  <c r="O230" i="3"/>
  <c r="P230" i="3" s="1"/>
  <c r="L230" i="3"/>
  <c r="K230" i="3"/>
  <c r="O229" i="3"/>
  <c r="P229" i="3" s="1"/>
  <c r="L229" i="3"/>
  <c r="K229" i="3"/>
  <c r="O234" i="3"/>
  <c r="P234" i="3" s="1"/>
  <c r="L234" i="3"/>
  <c r="K234" i="3"/>
  <c r="O233" i="3"/>
  <c r="P233" i="3" s="1"/>
  <c r="L233" i="3"/>
  <c r="K233" i="3"/>
  <c r="O252" i="3"/>
  <c r="P252" i="3" s="1"/>
  <c r="L252" i="3"/>
  <c r="K252" i="3"/>
  <c r="O251" i="3"/>
  <c r="P251" i="3" s="1"/>
  <c r="L251" i="3"/>
  <c r="K251" i="3"/>
  <c r="O258" i="3"/>
  <c r="P258" i="3" s="1"/>
  <c r="L258" i="3"/>
  <c r="K258" i="3"/>
  <c r="O257" i="3"/>
  <c r="P257" i="3" s="1"/>
  <c r="L257" i="3"/>
  <c r="K257" i="3"/>
  <c r="O218" i="3"/>
  <c r="P218" i="3" s="1"/>
  <c r="L218" i="3"/>
  <c r="K218" i="3"/>
  <c r="O217" i="3"/>
  <c r="P217" i="3" s="1"/>
  <c r="L217" i="3"/>
  <c r="K217" i="3"/>
  <c r="O269" i="3"/>
  <c r="P269" i="3" s="1"/>
  <c r="L269" i="3"/>
  <c r="K269" i="3"/>
  <c r="O267" i="3"/>
  <c r="P267" i="3" s="1"/>
  <c r="L267" i="3"/>
  <c r="K267" i="3"/>
  <c r="O313" i="3"/>
  <c r="P313" i="3" s="1"/>
  <c r="L313" i="3"/>
  <c r="K313" i="3"/>
  <c r="O312" i="3"/>
  <c r="P312" i="3" s="1"/>
  <c r="L312" i="3"/>
  <c r="K312" i="3"/>
  <c r="O288" i="3"/>
  <c r="P288" i="3" s="1"/>
  <c r="L288" i="3"/>
  <c r="K288" i="3"/>
  <c r="O289" i="3"/>
  <c r="P289" i="3" s="1"/>
  <c r="L289" i="3"/>
  <c r="K289" i="3"/>
  <c r="O292" i="3"/>
  <c r="P292" i="3" s="1"/>
  <c r="L292" i="3"/>
  <c r="K292" i="3"/>
  <c r="O304" i="3"/>
  <c r="P304" i="3" s="1"/>
  <c r="L304" i="3"/>
  <c r="K304" i="3"/>
  <c r="O305" i="3"/>
  <c r="P305" i="3" s="1"/>
  <c r="L305" i="3"/>
  <c r="K305" i="3"/>
  <c r="O291" i="3"/>
  <c r="P291" i="3" s="1"/>
  <c r="L291" i="3"/>
  <c r="K291" i="3"/>
  <c r="O287" i="3"/>
  <c r="P287" i="3" s="1"/>
  <c r="L287" i="3"/>
  <c r="K287" i="3"/>
  <c r="O295" i="3"/>
  <c r="P295" i="3" s="1"/>
  <c r="L295" i="3"/>
  <c r="K295" i="3"/>
  <c r="O256" i="3"/>
  <c r="P256" i="3" s="1"/>
  <c r="L256" i="3"/>
  <c r="K256" i="3"/>
  <c r="O255" i="3"/>
  <c r="P255" i="3" s="1"/>
  <c r="L255" i="3"/>
  <c r="K255" i="3"/>
  <c r="O248" i="3"/>
  <c r="P248" i="3" s="1"/>
  <c r="L248" i="3"/>
  <c r="K248" i="3"/>
  <c r="O247" i="3"/>
  <c r="P247" i="3" s="1"/>
  <c r="L247" i="3"/>
  <c r="K247" i="3"/>
  <c r="O232" i="3"/>
  <c r="P232" i="3" s="1"/>
  <c r="L232" i="3"/>
  <c r="K232" i="3"/>
  <c r="O231" i="3"/>
  <c r="P231" i="3" s="1"/>
  <c r="L231" i="3"/>
  <c r="K231" i="3"/>
  <c r="O236" i="3"/>
  <c r="P236" i="3" s="1"/>
  <c r="L236" i="3"/>
  <c r="K236" i="3"/>
  <c r="O235" i="3"/>
  <c r="P235" i="3" s="1"/>
  <c r="L235" i="3"/>
  <c r="K235" i="3"/>
  <c r="O262" i="3"/>
  <c r="P262" i="3" s="1"/>
  <c r="L262" i="3"/>
  <c r="K262" i="3"/>
  <c r="O261" i="3"/>
  <c r="P261" i="3" s="1"/>
  <c r="L261" i="3"/>
  <c r="K261" i="3"/>
  <c r="O158" i="3"/>
  <c r="P158" i="3" s="1"/>
  <c r="L158" i="3"/>
  <c r="K158" i="3"/>
  <c r="O153" i="3"/>
  <c r="P153" i="3" s="1"/>
  <c r="L153" i="3"/>
  <c r="K153" i="3"/>
  <c r="O108" i="3"/>
  <c r="P108" i="3" s="1"/>
  <c r="L108" i="3"/>
  <c r="K108" i="3"/>
  <c r="O113" i="3"/>
  <c r="P113" i="3" s="1"/>
  <c r="L113" i="3"/>
  <c r="K113" i="3"/>
  <c r="O118" i="3"/>
  <c r="P118" i="3" s="1"/>
  <c r="L118" i="3"/>
  <c r="K118" i="3"/>
  <c r="O123" i="3"/>
  <c r="P123" i="3" s="1"/>
  <c r="L123" i="3"/>
  <c r="K123" i="3"/>
  <c r="O128" i="3"/>
  <c r="P128" i="3" s="1"/>
  <c r="L128" i="3"/>
  <c r="K128" i="3"/>
  <c r="O133" i="3"/>
  <c r="P133" i="3" s="1"/>
  <c r="L133" i="3"/>
  <c r="K133" i="3"/>
  <c r="O138" i="3"/>
  <c r="P138" i="3" s="1"/>
  <c r="L138" i="3"/>
  <c r="K138" i="3"/>
  <c r="O143" i="3"/>
  <c r="P143" i="3" s="1"/>
  <c r="L143" i="3"/>
  <c r="K143" i="3"/>
  <c r="O148" i="3"/>
  <c r="P148" i="3" s="1"/>
  <c r="L148" i="3"/>
  <c r="K148" i="3"/>
  <c r="O208" i="3"/>
  <c r="P208" i="3" s="1"/>
  <c r="L208" i="3"/>
  <c r="K208" i="3"/>
  <c r="O203" i="3"/>
  <c r="P203" i="3" s="1"/>
  <c r="L203" i="3"/>
  <c r="K203" i="3"/>
  <c r="O198" i="3"/>
  <c r="P198" i="3" s="1"/>
  <c r="L198" i="3"/>
  <c r="K198" i="3"/>
  <c r="O193" i="3"/>
  <c r="P193" i="3" s="1"/>
  <c r="L193" i="3"/>
  <c r="K193" i="3"/>
  <c r="O188" i="3"/>
  <c r="P188" i="3" s="1"/>
  <c r="L188" i="3"/>
  <c r="K188" i="3"/>
  <c r="O183" i="3"/>
  <c r="P183" i="3" s="1"/>
  <c r="L183" i="3"/>
  <c r="K183" i="3"/>
  <c r="O178" i="3"/>
  <c r="P178" i="3" s="1"/>
  <c r="L178" i="3"/>
  <c r="K178" i="3"/>
  <c r="O173" i="3"/>
  <c r="P173" i="3" s="1"/>
  <c r="L173" i="3"/>
  <c r="K173" i="3"/>
  <c r="O168" i="3"/>
  <c r="P168" i="3" s="1"/>
  <c r="L168" i="3"/>
  <c r="K168" i="3"/>
  <c r="O163" i="3"/>
  <c r="P163" i="3" s="1"/>
  <c r="L163" i="3"/>
  <c r="K163" i="3"/>
  <c r="O161" i="3"/>
  <c r="P161" i="3" s="1"/>
  <c r="L161" i="3"/>
  <c r="K161" i="3"/>
  <c r="O156" i="3"/>
  <c r="P156" i="3" s="1"/>
  <c r="L156" i="3"/>
  <c r="K156" i="3"/>
  <c r="O111" i="3"/>
  <c r="P111" i="3" s="1"/>
  <c r="L111" i="3"/>
  <c r="K111" i="3"/>
  <c r="O116" i="3"/>
  <c r="P116" i="3" s="1"/>
  <c r="L116" i="3"/>
  <c r="K116" i="3"/>
  <c r="O121" i="3"/>
  <c r="P121" i="3" s="1"/>
  <c r="L121" i="3"/>
  <c r="K121" i="3"/>
  <c r="O126" i="3"/>
  <c r="P126" i="3" s="1"/>
  <c r="L126" i="3"/>
  <c r="K126" i="3"/>
  <c r="O131" i="3"/>
  <c r="P131" i="3" s="1"/>
  <c r="L131" i="3"/>
  <c r="K131" i="3"/>
  <c r="O136" i="3"/>
  <c r="P136" i="3" s="1"/>
  <c r="L136" i="3"/>
  <c r="K136" i="3"/>
  <c r="O141" i="3"/>
  <c r="P141" i="3" s="1"/>
  <c r="L141" i="3"/>
  <c r="K141" i="3"/>
  <c r="O146" i="3"/>
  <c r="P146" i="3" s="1"/>
  <c r="L146" i="3"/>
  <c r="K146" i="3"/>
  <c r="O151" i="3"/>
  <c r="P151" i="3" s="1"/>
  <c r="L151" i="3"/>
  <c r="K151" i="3"/>
  <c r="O211" i="3"/>
  <c r="P211" i="3" s="1"/>
  <c r="L211" i="3"/>
  <c r="K211" i="3"/>
  <c r="O206" i="3"/>
  <c r="P206" i="3" s="1"/>
  <c r="L206" i="3"/>
  <c r="K206" i="3"/>
  <c r="O201" i="3"/>
  <c r="P201" i="3" s="1"/>
  <c r="L201" i="3"/>
  <c r="K201" i="3"/>
  <c r="O196" i="3"/>
  <c r="P196" i="3" s="1"/>
  <c r="L196" i="3"/>
  <c r="K196" i="3"/>
  <c r="O191" i="3"/>
  <c r="P191" i="3" s="1"/>
  <c r="L191" i="3"/>
  <c r="K191" i="3"/>
  <c r="O186" i="3"/>
  <c r="P186" i="3" s="1"/>
  <c r="L186" i="3"/>
  <c r="K186" i="3"/>
  <c r="O181" i="3"/>
  <c r="P181" i="3" s="1"/>
  <c r="L181" i="3"/>
  <c r="K181" i="3"/>
  <c r="O176" i="3"/>
  <c r="P176" i="3" s="1"/>
  <c r="L176" i="3"/>
  <c r="K176" i="3"/>
  <c r="O171" i="3"/>
  <c r="P171" i="3" s="1"/>
  <c r="L171" i="3"/>
  <c r="K171" i="3"/>
  <c r="O166" i="3"/>
  <c r="P166" i="3" s="1"/>
  <c r="L166" i="3"/>
  <c r="K166" i="3"/>
  <c r="O159" i="3"/>
  <c r="P159" i="3" s="1"/>
  <c r="L159" i="3"/>
  <c r="K159" i="3"/>
  <c r="O154" i="3"/>
  <c r="P154" i="3" s="1"/>
  <c r="L154" i="3"/>
  <c r="K154" i="3"/>
  <c r="O109" i="3"/>
  <c r="P109" i="3" s="1"/>
  <c r="L109" i="3"/>
  <c r="K109" i="3"/>
  <c r="O114" i="3"/>
  <c r="P114" i="3" s="1"/>
  <c r="L114" i="3"/>
  <c r="K114" i="3"/>
  <c r="O119" i="3"/>
  <c r="P119" i="3" s="1"/>
  <c r="L119" i="3"/>
  <c r="K119" i="3"/>
  <c r="O124" i="3"/>
  <c r="P124" i="3" s="1"/>
  <c r="L124" i="3"/>
  <c r="K124" i="3"/>
  <c r="O129" i="3"/>
  <c r="P129" i="3" s="1"/>
  <c r="L129" i="3"/>
  <c r="K129" i="3"/>
  <c r="O134" i="3"/>
  <c r="P134" i="3" s="1"/>
  <c r="L134" i="3"/>
  <c r="K134" i="3"/>
  <c r="O139" i="3"/>
  <c r="P139" i="3" s="1"/>
  <c r="L139" i="3"/>
  <c r="K139" i="3"/>
  <c r="O144" i="3"/>
  <c r="P144" i="3" s="1"/>
  <c r="L144" i="3"/>
  <c r="K144" i="3"/>
  <c r="O149" i="3"/>
  <c r="P149" i="3" s="1"/>
  <c r="L149" i="3"/>
  <c r="K149" i="3"/>
  <c r="O209" i="3"/>
  <c r="P209" i="3" s="1"/>
  <c r="L209" i="3"/>
  <c r="K209" i="3"/>
  <c r="O204" i="3"/>
  <c r="P204" i="3" s="1"/>
  <c r="L204" i="3"/>
  <c r="K204" i="3"/>
  <c r="O199" i="3"/>
  <c r="P199" i="3" s="1"/>
  <c r="L199" i="3"/>
  <c r="K199" i="3"/>
  <c r="O194" i="3"/>
  <c r="P194" i="3" s="1"/>
  <c r="L194" i="3"/>
  <c r="K194" i="3"/>
  <c r="O189" i="3"/>
  <c r="P189" i="3" s="1"/>
  <c r="L189" i="3"/>
  <c r="K189" i="3"/>
  <c r="O184" i="3"/>
  <c r="P184" i="3" s="1"/>
  <c r="L184" i="3"/>
  <c r="K184" i="3"/>
  <c r="O179" i="3"/>
  <c r="P179" i="3" s="1"/>
  <c r="L179" i="3"/>
  <c r="K179" i="3"/>
  <c r="O174" i="3"/>
  <c r="P174" i="3" s="1"/>
  <c r="L174" i="3"/>
  <c r="K174" i="3"/>
  <c r="O169" i="3"/>
  <c r="P169" i="3" s="1"/>
  <c r="L169" i="3"/>
  <c r="K169" i="3"/>
  <c r="O164" i="3"/>
  <c r="P164" i="3" s="1"/>
  <c r="L164" i="3"/>
  <c r="K164" i="3"/>
  <c r="O160" i="3"/>
  <c r="P160" i="3" s="1"/>
  <c r="L160" i="3"/>
  <c r="K160" i="3"/>
  <c r="O155" i="3"/>
  <c r="P155" i="3" s="1"/>
  <c r="L155" i="3"/>
  <c r="K155" i="3"/>
  <c r="O110" i="3"/>
  <c r="P110" i="3" s="1"/>
  <c r="L110" i="3"/>
  <c r="K110" i="3"/>
  <c r="O115" i="3"/>
  <c r="P115" i="3" s="1"/>
  <c r="L115" i="3"/>
  <c r="K115" i="3"/>
  <c r="O120" i="3"/>
  <c r="P120" i="3" s="1"/>
  <c r="L120" i="3"/>
  <c r="K120" i="3"/>
  <c r="O125" i="3"/>
  <c r="P125" i="3" s="1"/>
  <c r="L125" i="3"/>
  <c r="K125" i="3"/>
  <c r="O130" i="3"/>
  <c r="P130" i="3" s="1"/>
  <c r="L130" i="3"/>
  <c r="K130" i="3"/>
  <c r="O135" i="3"/>
  <c r="P135" i="3" s="1"/>
  <c r="L135" i="3"/>
  <c r="K135" i="3"/>
  <c r="O140" i="3"/>
  <c r="P140" i="3" s="1"/>
  <c r="L140" i="3"/>
  <c r="K140" i="3"/>
  <c r="O145" i="3"/>
  <c r="P145" i="3" s="1"/>
  <c r="L145" i="3"/>
  <c r="K145" i="3"/>
  <c r="O150" i="3"/>
  <c r="P150" i="3" s="1"/>
  <c r="L150" i="3"/>
  <c r="K150" i="3"/>
  <c r="O210" i="3"/>
  <c r="P210" i="3" s="1"/>
  <c r="L210" i="3"/>
  <c r="K210" i="3"/>
  <c r="O205" i="3"/>
  <c r="P205" i="3" s="1"/>
  <c r="L205" i="3"/>
  <c r="K205" i="3"/>
  <c r="O200" i="3"/>
  <c r="P200" i="3" s="1"/>
  <c r="L200" i="3"/>
  <c r="K200" i="3"/>
  <c r="O195" i="3"/>
  <c r="P195" i="3" s="1"/>
  <c r="L195" i="3"/>
  <c r="K195" i="3"/>
  <c r="O190" i="3"/>
  <c r="P190" i="3" s="1"/>
  <c r="L190" i="3"/>
  <c r="K190" i="3"/>
  <c r="O185" i="3"/>
  <c r="P185" i="3" s="1"/>
  <c r="L185" i="3"/>
  <c r="K185" i="3"/>
  <c r="O180" i="3"/>
  <c r="P180" i="3" s="1"/>
  <c r="L180" i="3"/>
  <c r="K180" i="3"/>
  <c r="O175" i="3"/>
  <c r="P175" i="3" s="1"/>
  <c r="L175" i="3"/>
  <c r="K175" i="3"/>
  <c r="O170" i="3"/>
  <c r="P170" i="3" s="1"/>
  <c r="L170" i="3"/>
  <c r="K170" i="3"/>
  <c r="O165" i="3"/>
  <c r="P165" i="3" s="1"/>
  <c r="L165" i="3"/>
  <c r="K165" i="3"/>
  <c r="O162" i="3"/>
  <c r="P162" i="3" s="1"/>
  <c r="L162" i="3"/>
  <c r="K162" i="3"/>
  <c r="O157" i="3"/>
  <c r="P157" i="3" s="1"/>
  <c r="L157" i="3"/>
  <c r="K157" i="3"/>
  <c r="O112" i="3"/>
  <c r="P112" i="3" s="1"/>
  <c r="L112" i="3"/>
  <c r="K112" i="3"/>
  <c r="O117" i="3"/>
  <c r="P117" i="3" s="1"/>
  <c r="L117" i="3"/>
  <c r="K117" i="3"/>
  <c r="O122" i="3"/>
  <c r="P122" i="3" s="1"/>
  <c r="L122" i="3"/>
  <c r="K122" i="3"/>
  <c r="O127" i="3"/>
  <c r="P127" i="3" s="1"/>
  <c r="L127" i="3"/>
  <c r="K127" i="3"/>
  <c r="O132" i="3"/>
  <c r="P132" i="3" s="1"/>
  <c r="L132" i="3"/>
  <c r="K132" i="3"/>
  <c r="O137" i="3"/>
  <c r="P137" i="3" s="1"/>
  <c r="L137" i="3"/>
  <c r="K137" i="3"/>
  <c r="O142" i="3"/>
  <c r="P142" i="3" s="1"/>
  <c r="L142" i="3"/>
  <c r="K142" i="3"/>
  <c r="O147" i="3"/>
  <c r="P147" i="3" s="1"/>
  <c r="L147" i="3"/>
  <c r="K147" i="3"/>
  <c r="O152" i="3"/>
  <c r="P152" i="3" s="1"/>
  <c r="L152" i="3"/>
  <c r="K152" i="3"/>
  <c r="O212" i="3"/>
  <c r="P212" i="3" s="1"/>
  <c r="L212" i="3"/>
  <c r="K212" i="3"/>
  <c r="O207" i="3"/>
  <c r="P207" i="3" s="1"/>
  <c r="L207" i="3"/>
  <c r="K207" i="3"/>
  <c r="O202" i="3"/>
  <c r="P202" i="3" s="1"/>
  <c r="L202" i="3"/>
  <c r="K202" i="3"/>
  <c r="O197" i="3"/>
  <c r="P197" i="3" s="1"/>
  <c r="L197" i="3"/>
  <c r="K197" i="3"/>
  <c r="O192" i="3"/>
  <c r="P192" i="3" s="1"/>
  <c r="L192" i="3"/>
  <c r="K192" i="3"/>
  <c r="O187" i="3"/>
  <c r="P187" i="3" s="1"/>
  <c r="L187" i="3"/>
  <c r="K187" i="3"/>
  <c r="O182" i="3"/>
  <c r="P182" i="3" s="1"/>
  <c r="L182" i="3"/>
  <c r="K182" i="3"/>
  <c r="O177" i="3"/>
  <c r="P177" i="3" s="1"/>
  <c r="L177" i="3"/>
  <c r="K177" i="3"/>
  <c r="O172" i="3"/>
  <c r="P172" i="3" s="1"/>
  <c r="L172" i="3"/>
  <c r="K172" i="3"/>
  <c r="O167" i="3"/>
  <c r="P167" i="3" s="1"/>
  <c r="L167" i="3"/>
  <c r="K167" i="3"/>
  <c r="O52" i="3"/>
  <c r="P52" i="3" s="1"/>
  <c r="L52" i="3"/>
  <c r="K52" i="3"/>
  <c r="O47" i="3"/>
  <c r="P47" i="3" s="1"/>
  <c r="L47" i="3"/>
  <c r="K47" i="3"/>
  <c r="O2" i="3"/>
  <c r="P2" i="3" s="1"/>
  <c r="L2" i="3"/>
  <c r="K2" i="3"/>
  <c r="O7" i="3"/>
  <c r="P7" i="3" s="1"/>
  <c r="L7" i="3"/>
  <c r="K7" i="3"/>
  <c r="O12" i="3"/>
  <c r="P12" i="3" s="1"/>
  <c r="L12" i="3"/>
  <c r="K12" i="3"/>
  <c r="O17" i="3"/>
  <c r="P17" i="3" s="1"/>
  <c r="L17" i="3"/>
  <c r="K17" i="3"/>
  <c r="O22" i="3"/>
  <c r="P22" i="3" s="1"/>
  <c r="L22" i="3"/>
  <c r="K22" i="3"/>
  <c r="O27" i="3"/>
  <c r="P27" i="3" s="1"/>
  <c r="L27" i="3"/>
  <c r="K27" i="3"/>
  <c r="O32" i="3"/>
  <c r="P32" i="3" s="1"/>
  <c r="L32" i="3"/>
  <c r="K32" i="3"/>
  <c r="O37" i="3"/>
  <c r="P37" i="3" s="1"/>
  <c r="L37" i="3"/>
  <c r="K37" i="3"/>
  <c r="O42" i="3"/>
  <c r="P42" i="3" s="1"/>
  <c r="L42" i="3"/>
  <c r="K42" i="3"/>
  <c r="O103" i="3"/>
  <c r="P103" i="3" s="1"/>
  <c r="L103" i="3"/>
  <c r="K103" i="3"/>
  <c r="O98" i="3"/>
  <c r="P98" i="3" s="1"/>
  <c r="L98" i="3"/>
  <c r="K98" i="3"/>
  <c r="O93" i="3"/>
  <c r="P93" i="3" s="1"/>
  <c r="L93" i="3"/>
  <c r="K93" i="3"/>
  <c r="O88" i="3"/>
  <c r="P88" i="3" s="1"/>
  <c r="L88" i="3"/>
  <c r="K88" i="3"/>
  <c r="O83" i="3"/>
  <c r="P83" i="3" s="1"/>
  <c r="L83" i="3"/>
  <c r="K83" i="3"/>
  <c r="O78" i="3"/>
  <c r="P78" i="3" s="1"/>
  <c r="L78" i="3"/>
  <c r="K78" i="3"/>
  <c r="O73" i="3"/>
  <c r="P73" i="3" s="1"/>
  <c r="L73" i="3"/>
  <c r="K73" i="3"/>
  <c r="O68" i="3"/>
  <c r="P68" i="3" s="1"/>
  <c r="L68" i="3"/>
  <c r="K68" i="3"/>
  <c r="O63" i="3"/>
  <c r="P63" i="3" s="1"/>
  <c r="L63" i="3"/>
  <c r="K63" i="3"/>
  <c r="O58" i="3"/>
  <c r="P58" i="3" s="1"/>
  <c r="L58" i="3"/>
  <c r="K58" i="3"/>
  <c r="O54" i="3"/>
  <c r="P54" i="3" s="1"/>
  <c r="O50" i="3"/>
  <c r="P50" i="3" s="1"/>
  <c r="L50" i="3"/>
  <c r="K50" i="3"/>
  <c r="O5" i="3"/>
  <c r="P5" i="3" s="1"/>
  <c r="L5" i="3"/>
  <c r="K5" i="3"/>
  <c r="O10" i="3"/>
  <c r="P10" i="3" s="1"/>
  <c r="L10" i="3"/>
  <c r="K10" i="3"/>
  <c r="O15" i="3"/>
  <c r="P15" i="3" s="1"/>
  <c r="L15" i="3"/>
  <c r="K15" i="3"/>
  <c r="O20" i="3"/>
  <c r="P20" i="3" s="1"/>
  <c r="L20" i="3"/>
  <c r="K20" i="3"/>
  <c r="O25" i="3"/>
  <c r="P25" i="3" s="1"/>
  <c r="L25" i="3"/>
  <c r="K25" i="3"/>
  <c r="O30" i="3"/>
  <c r="P30" i="3" s="1"/>
  <c r="L30" i="3"/>
  <c r="K30" i="3"/>
  <c r="O35" i="3"/>
  <c r="P35" i="3" s="1"/>
  <c r="L35" i="3"/>
  <c r="K35" i="3"/>
  <c r="O40" i="3"/>
  <c r="P40" i="3" s="1"/>
  <c r="L40" i="3"/>
  <c r="K40" i="3"/>
  <c r="O45" i="3"/>
  <c r="P45" i="3" s="1"/>
  <c r="L45" i="3"/>
  <c r="K45" i="3"/>
  <c r="O106" i="3"/>
  <c r="P106" i="3" s="1"/>
  <c r="L106" i="3"/>
  <c r="K106" i="3"/>
  <c r="O101" i="3"/>
  <c r="P101" i="3" s="1"/>
  <c r="L101" i="3"/>
  <c r="K101" i="3"/>
  <c r="O96" i="3"/>
  <c r="P96" i="3" s="1"/>
  <c r="L96" i="3"/>
  <c r="K96" i="3"/>
  <c r="O91" i="3"/>
  <c r="P91" i="3" s="1"/>
  <c r="L91" i="3"/>
  <c r="K91" i="3"/>
  <c r="O86" i="3"/>
  <c r="P86" i="3" s="1"/>
  <c r="L86" i="3"/>
  <c r="K86" i="3"/>
  <c r="O81" i="3"/>
  <c r="P81" i="3" s="1"/>
  <c r="L81" i="3"/>
  <c r="K81" i="3"/>
  <c r="O76" i="3"/>
  <c r="P76" i="3" s="1"/>
  <c r="L76" i="3"/>
  <c r="K76" i="3"/>
  <c r="O71" i="3"/>
  <c r="P71" i="3" s="1"/>
  <c r="L71" i="3"/>
  <c r="K71" i="3"/>
  <c r="O66" i="3"/>
  <c r="P66" i="3" s="1"/>
  <c r="L66" i="3"/>
  <c r="K66" i="3"/>
  <c r="O61" i="3"/>
  <c r="P61" i="3" s="1"/>
  <c r="L61" i="3"/>
  <c r="K61" i="3"/>
  <c r="O57" i="3"/>
  <c r="P57" i="3" s="1"/>
  <c r="L57" i="3"/>
  <c r="K57" i="3"/>
  <c r="O56" i="3"/>
  <c r="P56" i="3" s="1"/>
  <c r="L56" i="3"/>
  <c r="K56" i="3"/>
  <c r="O48" i="3"/>
  <c r="P48" i="3" s="1"/>
  <c r="L48" i="3"/>
  <c r="K48" i="3"/>
  <c r="O3" i="3"/>
  <c r="P3" i="3" s="1"/>
  <c r="L3" i="3"/>
  <c r="K3" i="3"/>
  <c r="O8" i="3"/>
  <c r="P8" i="3" s="1"/>
  <c r="L8" i="3"/>
  <c r="K8" i="3"/>
  <c r="O13" i="3"/>
  <c r="P13" i="3" s="1"/>
  <c r="L13" i="3"/>
  <c r="K13" i="3"/>
  <c r="O18" i="3"/>
  <c r="P18" i="3" s="1"/>
  <c r="L18" i="3"/>
  <c r="K18" i="3"/>
  <c r="O23" i="3"/>
  <c r="P23" i="3" s="1"/>
  <c r="L23" i="3"/>
  <c r="K23" i="3"/>
  <c r="O28" i="3"/>
  <c r="P28" i="3" s="1"/>
  <c r="L28" i="3"/>
  <c r="K28" i="3"/>
  <c r="O33" i="3"/>
  <c r="P33" i="3" s="1"/>
  <c r="L33" i="3"/>
  <c r="K33" i="3"/>
  <c r="O38" i="3"/>
  <c r="P38" i="3" s="1"/>
  <c r="L38" i="3"/>
  <c r="K38" i="3"/>
  <c r="O43" i="3"/>
  <c r="P43" i="3" s="1"/>
  <c r="L43" i="3"/>
  <c r="K43" i="3"/>
  <c r="O104" i="3"/>
  <c r="P104" i="3" s="1"/>
  <c r="L104" i="3"/>
  <c r="K104" i="3"/>
  <c r="O99" i="3"/>
  <c r="P99" i="3" s="1"/>
  <c r="L99" i="3"/>
  <c r="K99" i="3"/>
  <c r="O94" i="3"/>
  <c r="P94" i="3" s="1"/>
  <c r="L94" i="3"/>
  <c r="K94" i="3"/>
  <c r="O89" i="3"/>
  <c r="P89" i="3" s="1"/>
  <c r="L89" i="3"/>
  <c r="K89" i="3"/>
  <c r="O84" i="3"/>
  <c r="P84" i="3" s="1"/>
  <c r="L84" i="3"/>
  <c r="K84" i="3"/>
  <c r="O79" i="3"/>
  <c r="P79" i="3" s="1"/>
  <c r="L79" i="3"/>
  <c r="K79" i="3"/>
  <c r="O74" i="3"/>
  <c r="P74" i="3" s="1"/>
  <c r="L74" i="3"/>
  <c r="K74" i="3"/>
  <c r="O69" i="3"/>
  <c r="P69" i="3" s="1"/>
  <c r="L69" i="3"/>
  <c r="K69" i="3"/>
  <c r="O64" i="3"/>
  <c r="P64" i="3" s="1"/>
  <c r="L64" i="3"/>
  <c r="K64" i="3"/>
  <c r="O59" i="3"/>
  <c r="P59" i="3" s="1"/>
  <c r="L59" i="3"/>
  <c r="K59" i="3"/>
  <c r="O53" i="3"/>
  <c r="P53" i="3" s="1"/>
  <c r="L53" i="3"/>
  <c r="K53" i="3"/>
  <c r="O4" i="3"/>
  <c r="P4" i="3" s="1"/>
  <c r="L4" i="3"/>
  <c r="K4" i="3"/>
  <c r="O9" i="3"/>
  <c r="P9" i="3" s="1"/>
  <c r="L9" i="3"/>
  <c r="K9" i="3"/>
  <c r="O14" i="3"/>
  <c r="P14" i="3" s="1"/>
  <c r="L14" i="3"/>
  <c r="K14" i="3"/>
  <c r="O19" i="3"/>
  <c r="P19" i="3" s="1"/>
  <c r="L19" i="3"/>
  <c r="K19" i="3"/>
  <c r="O24" i="3"/>
  <c r="P24" i="3" s="1"/>
  <c r="L24" i="3"/>
  <c r="K24" i="3"/>
  <c r="O29" i="3"/>
  <c r="P29" i="3" s="1"/>
  <c r="L29" i="3"/>
  <c r="K29" i="3"/>
  <c r="O34" i="3"/>
  <c r="P34" i="3" s="1"/>
  <c r="L34" i="3"/>
  <c r="K34" i="3"/>
  <c r="O39" i="3"/>
  <c r="P39" i="3" s="1"/>
  <c r="L39" i="3"/>
  <c r="K39" i="3"/>
  <c r="O44" i="3"/>
  <c r="P44" i="3" s="1"/>
  <c r="L44" i="3"/>
  <c r="K44" i="3"/>
  <c r="O105" i="3"/>
  <c r="P105" i="3" s="1"/>
  <c r="L105" i="3"/>
  <c r="K105" i="3"/>
  <c r="O100" i="3"/>
  <c r="P100" i="3" s="1"/>
  <c r="L100" i="3"/>
  <c r="K100" i="3"/>
  <c r="O95" i="3"/>
  <c r="P95" i="3" s="1"/>
  <c r="L95" i="3"/>
  <c r="K95" i="3"/>
  <c r="O90" i="3"/>
  <c r="P90" i="3" s="1"/>
  <c r="L90" i="3"/>
  <c r="K90" i="3"/>
  <c r="O85" i="3"/>
  <c r="P85" i="3" s="1"/>
  <c r="L85" i="3"/>
  <c r="K85" i="3"/>
  <c r="O80" i="3"/>
  <c r="P80" i="3" s="1"/>
  <c r="L80" i="3"/>
  <c r="K80" i="3"/>
  <c r="O75" i="3"/>
  <c r="P75" i="3" s="1"/>
  <c r="L75" i="3"/>
  <c r="K75" i="3"/>
  <c r="O70" i="3"/>
  <c r="P70" i="3" s="1"/>
  <c r="L70" i="3"/>
  <c r="K70" i="3"/>
  <c r="O65" i="3"/>
  <c r="P65" i="3" s="1"/>
  <c r="L65" i="3"/>
  <c r="K65" i="3"/>
  <c r="O60" i="3"/>
  <c r="P60" i="3" s="1"/>
  <c r="L60" i="3"/>
  <c r="K60" i="3"/>
  <c r="O55" i="3"/>
  <c r="P55" i="3" s="1"/>
  <c r="L55" i="3"/>
  <c r="K55" i="3"/>
  <c r="O51" i="3"/>
  <c r="P51" i="3" s="1"/>
  <c r="L51" i="3"/>
  <c r="K51" i="3"/>
  <c r="O6" i="3"/>
  <c r="P6" i="3" s="1"/>
  <c r="L6" i="3"/>
  <c r="K6" i="3"/>
  <c r="O11" i="3"/>
  <c r="P11" i="3" s="1"/>
  <c r="L11" i="3"/>
  <c r="K11" i="3"/>
  <c r="O16" i="3"/>
  <c r="P16" i="3" s="1"/>
  <c r="L16" i="3"/>
  <c r="K16" i="3"/>
  <c r="O21" i="3"/>
  <c r="P21" i="3" s="1"/>
  <c r="L21" i="3"/>
  <c r="K21" i="3"/>
  <c r="O26" i="3"/>
  <c r="P26" i="3" s="1"/>
  <c r="L26" i="3"/>
  <c r="K26" i="3"/>
  <c r="O31" i="3"/>
  <c r="P31" i="3" s="1"/>
  <c r="L31" i="3"/>
  <c r="K31" i="3"/>
  <c r="O36" i="3"/>
  <c r="P36" i="3" s="1"/>
  <c r="L36" i="3"/>
  <c r="K36" i="3"/>
  <c r="O41" i="3"/>
  <c r="P41" i="3" s="1"/>
  <c r="L41" i="3"/>
  <c r="K41" i="3"/>
  <c r="O46" i="3"/>
  <c r="P46" i="3" s="1"/>
  <c r="L46" i="3"/>
  <c r="K46" i="3"/>
  <c r="O107" i="3"/>
  <c r="P107" i="3" s="1"/>
  <c r="L107" i="3"/>
  <c r="K107" i="3"/>
  <c r="O102" i="3"/>
  <c r="P102" i="3" s="1"/>
  <c r="L102" i="3"/>
  <c r="K102" i="3"/>
  <c r="O97" i="3"/>
  <c r="P97" i="3" s="1"/>
  <c r="L97" i="3"/>
  <c r="K97" i="3"/>
  <c r="O92" i="3"/>
  <c r="P92" i="3" s="1"/>
  <c r="L92" i="3"/>
  <c r="K92" i="3"/>
  <c r="O87" i="3"/>
  <c r="P87" i="3" s="1"/>
  <c r="L87" i="3"/>
  <c r="K87" i="3"/>
  <c r="O82" i="3"/>
  <c r="P82" i="3" s="1"/>
  <c r="L82" i="3"/>
  <c r="K82" i="3"/>
  <c r="O77" i="3"/>
  <c r="P77" i="3" s="1"/>
  <c r="L77" i="3"/>
  <c r="K77" i="3"/>
  <c r="O72" i="3"/>
  <c r="P72" i="3" s="1"/>
  <c r="L72" i="3"/>
  <c r="K72" i="3"/>
  <c r="O67" i="3"/>
  <c r="P67" i="3" s="1"/>
  <c r="L67" i="3"/>
  <c r="K67" i="3"/>
  <c r="O62" i="3"/>
  <c r="P62" i="3" s="1"/>
  <c r="L62" i="3"/>
  <c r="K62" i="3"/>
  <c r="N247" i="1"/>
  <c r="O247" i="1" s="1"/>
  <c r="K247" i="1"/>
  <c r="J247" i="1"/>
  <c r="N246" i="1"/>
  <c r="O246" i="1" s="1"/>
  <c r="K246" i="1"/>
  <c r="J246" i="1"/>
  <c r="N245" i="1"/>
  <c r="O245" i="1" s="1"/>
  <c r="K245" i="1"/>
  <c r="J245" i="1"/>
  <c r="N244" i="1"/>
  <c r="O244" i="1" s="1"/>
  <c r="K244" i="1"/>
  <c r="J244" i="1"/>
  <c r="N243" i="1"/>
  <c r="O243" i="1" s="1"/>
  <c r="K243" i="1"/>
  <c r="J243" i="1"/>
  <c r="N242" i="1"/>
  <c r="O242" i="1" s="1"/>
  <c r="K242" i="1"/>
  <c r="J242" i="1"/>
  <c r="N241" i="1"/>
  <c r="O241" i="1" s="1"/>
  <c r="K241" i="1"/>
  <c r="J241" i="1"/>
  <c r="N240" i="1"/>
  <c r="O240" i="1" s="1"/>
  <c r="K240" i="1"/>
  <c r="J240" i="1"/>
  <c r="L240" i="1" s="1"/>
  <c r="N239" i="1"/>
  <c r="O239" i="1" s="1"/>
  <c r="K239" i="1"/>
  <c r="J239" i="1"/>
  <c r="N238" i="1"/>
  <c r="O238" i="1" s="1"/>
  <c r="K238" i="1"/>
  <c r="J238" i="1"/>
  <c r="N237" i="1"/>
  <c r="O237" i="1" s="1"/>
  <c r="K237" i="1"/>
  <c r="J237" i="1"/>
  <c r="N236" i="1"/>
  <c r="O236" i="1" s="1"/>
  <c r="K236" i="1"/>
  <c r="J236" i="1"/>
  <c r="N235" i="1"/>
  <c r="O235" i="1" s="1"/>
  <c r="K235" i="1"/>
  <c r="J235" i="1"/>
  <c r="N234" i="1"/>
  <c r="O234" i="1" s="1"/>
  <c r="K234" i="1"/>
  <c r="J234" i="1"/>
  <c r="N233" i="1"/>
  <c r="O233" i="1" s="1"/>
  <c r="K233" i="1"/>
  <c r="J233" i="1"/>
  <c r="N232" i="1"/>
  <c r="O232" i="1" s="1"/>
  <c r="K232" i="1"/>
  <c r="J232" i="1"/>
  <c r="N231" i="1"/>
  <c r="O231" i="1" s="1"/>
  <c r="K231" i="1"/>
  <c r="J231" i="1"/>
  <c r="N230" i="1"/>
  <c r="O230" i="1" s="1"/>
  <c r="K230" i="1"/>
  <c r="J230" i="1"/>
  <c r="N229" i="1"/>
  <c r="O229" i="1" s="1"/>
  <c r="K229" i="1"/>
  <c r="J229" i="1"/>
  <c r="N228" i="1"/>
  <c r="O228" i="1" s="1"/>
  <c r="K228" i="1"/>
  <c r="J228" i="1"/>
  <c r="N227" i="1"/>
  <c r="O227" i="1" s="1"/>
  <c r="K227" i="1"/>
  <c r="J227" i="1"/>
  <c r="N226" i="1"/>
  <c r="O226" i="1" s="1"/>
  <c r="K226" i="1"/>
  <c r="J226" i="1"/>
  <c r="N311" i="1"/>
  <c r="O311" i="1" s="1"/>
  <c r="K311" i="1"/>
  <c r="J311" i="1"/>
  <c r="N310" i="1"/>
  <c r="O310" i="1" s="1"/>
  <c r="K310" i="1"/>
  <c r="J310" i="1"/>
  <c r="L310" i="1" s="1"/>
  <c r="N309" i="1"/>
  <c r="O309" i="1" s="1"/>
  <c r="K309" i="1"/>
  <c r="J309" i="1"/>
  <c r="N308" i="1"/>
  <c r="O308" i="1" s="1"/>
  <c r="K308" i="1"/>
  <c r="J308" i="1"/>
  <c r="N307" i="1"/>
  <c r="O307" i="1" s="1"/>
  <c r="K307" i="1"/>
  <c r="J307" i="1"/>
  <c r="L307" i="1" s="1"/>
  <c r="N306" i="1"/>
  <c r="O306" i="1" s="1"/>
  <c r="K306" i="1"/>
  <c r="J306" i="1"/>
  <c r="N305" i="1"/>
  <c r="O305" i="1" s="1"/>
  <c r="K305" i="1"/>
  <c r="J305" i="1"/>
  <c r="N304" i="1"/>
  <c r="O304" i="1" s="1"/>
  <c r="K304" i="1"/>
  <c r="J304" i="1"/>
  <c r="N303" i="1"/>
  <c r="O303" i="1" s="1"/>
  <c r="K303" i="1"/>
  <c r="J303" i="1"/>
  <c r="N302" i="1"/>
  <c r="O302" i="1" s="1"/>
  <c r="K302" i="1"/>
  <c r="J302" i="1"/>
  <c r="N301" i="1"/>
  <c r="O301" i="1" s="1"/>
  <c r="K301" i="1"/>
  <c r="J301" i="1"/>
  <c r="L301" i="1" s="1"/>
  <c r="N300" i="1"/>
  <c r="O300" i="1" s="1"/>
  <c r="K300" i="1"/>
  <c r="J300" i="1"/>
  <c r="N299" i="1"/>
  <c r="O299" i="1" s="1"/>
  <c r="K299" i="1"/>
  <c r="J299" i="1"/>
  <c r="N298" i="1"/>
  <c r="O298" i="1" s="1"/>
  <c r="K298" i="1"/>
  <c r="J298" i="1"/>
  <c r="N297" i="1"/>
  <c r="O297" i="1" s="1"/>
  <c r="K297" i="1"/>
  <c r="J297" i="1"/>
  <c r="L297" i="1" s="1"/>
  <c r="N296" i="1"/>
  <c r="O296" i="1" s="1"/>
  <c r="K296" i="1"/>
  <c r="J296" i="1"/>
  <c r="L296" i="1" s="1"/>
  <c r="N295" i="1"/>
  <c r="O295" i="1" s="1"/>
  <c r="K295" i="1"/>
  <c r="J295" i="1"/>
  <c r="N294" i="1"/>
  <c r="O294" i="1" s="1"/>
  <c r="K294" i="1"/>
  <c r="J294" i="1"/>
  <c r="N293" i="1"/>
  <c r="O293" i="1" s="1"/>
  <c r="K293" i="1"/>
  <c r="J293" i="1"/>
  <c r="N292" i="1"/>
  <c r="O292" i="1" s="1"/>
  <c r="K292" i="1"/>
  <c r="J292" i="1"/>
  <c r="L292" i="1" s="1"/>
  <c r="N291" i="1"/>
  <c r="O291" i="1" s="1"/>
  <c r="K291" i="1"/>
  <c r="J291" i="1"/>
  <c r="N290" i="1"/>
  <c r="O290" i="1" s="1"/>
  <c r="K290" i="1"/>
  <c r="J290" i="1"/>
  <c r="L290" i="1" s="1"/>
  <c r="N268" i="1"/>
  <c r="O268" i="1" s="1"/>
  <c r="N267" i="1"/>
  <c r="O267" i="1" s="1"/>
  <c r="K267" i="1"/>
  <c r="J267" i="1"/>
  <c r="N266" i="1"/>
  <c r="O266" i="1" s="1"/>
  <c r="K266" i="1"/>
  <c r="J266" i="1"/>
  <c r="L266" i="1" s="1"/>
  <c r="N265" i="1"/>
  <c r="O265" i="1" s="1"/>
  <c r="K265" i="1"/>
  <c r="J265" i="1"/>
  <c r="N264" i="1"/>
  <c r="O264" i="1" s="1"/>
  <c r="K264" i="1"/>
  <c r="J264" i="1"/>
  <c r="N263" i="1"/>
  <c r="O263" i="1" s="1"/>
  <c r="K263" i="1"/>
  <c r="J263" i="1"/>
  <c r="N262" i="1"/>
  <c r="O262" i="1" s="1"/>
  <c r="K262" i="1"/>
  <c r="J262" i="1"/>
  <c r="N261" i="1"/>
  <c r="O261" i="1" s="1"/>
  <c r="K261" i="1"/>
  <c r="J261" i="1"/>
  <c r="L261" i="1" s="1"/>
  <c r="N260" i="1"/>
  <c r="O260" i="1" s="1"/>
  <c r="K260" i="1"/>
  <c r="J260" i="1"/>
  <c r="N259" i="1"/>
  <c r="O259" i="1" s="1"/>
  <c r="K259" i="1"/>
  <c r="J259" i="1"/>
  <c r="L259" i="1" s="1"/>
  <c r="N258" i="1"/>
  <c r="O258" i="1" s="1"/>
  <c r="K258" i="1"/>
  <c r="J258" i="1"/>
  <c r="N257" i="1"/>
  <c r="O257" i="1" s="1"/>
  <c r="K257" i="1"/>
  <c r="J257" i="1"/>
  <c r="N256" i="1"/>
  <c r="O256" i="1" s="1"/>
  <c r="K256" i="1"/>
  <c r="J256" i="1"/>
  <c r="N255" i="1"/>
  <c r="O255" i="1" s="1"/>
  <c r="K255" i="1"/>
  <c r="J255" i="1"/>
  <c r="N254" i="1"/>
  <c r="O254" i="1" s="1"/>
  <c r="K254" i="1"/>
  <c r="J254" i="1"/>
  <c r="N253" i="1"/>
  <c r="O253" i="1" s="1"/>
  <c r="K253" i="1"/>
  <c r="J253" i="1"/>
  <c r="L253" i="1" s="1"/>
  <c r="N252" i="1"/>
  <c r="O252" i="1" s="1"/>
  <c r="K252" i="1"/>
  <c r="J252" i="1"/>
  <c r="L252" i="1" s="1"/>
  <c r="N251" i="1"/>
  <c r="O251" i="1" s="1"/>
  <c r="K251" i="1"/>
  <c r="J251" i="1"/>
  <c r="L251" i="1" s="1"/>
  <c r="N250" i="1"/>
  <c r="O250" i="1" s="1"/>
  <c r="K250" i="1"/>
  <c r="J250" i="1"/>
  <c r="L250" i="1" s="1"/>
  <c r="N249" i="1"/>
  <c r="O249" i="1" s="1"/>
  <c r="K249" i="1"/>
  <c r="J249" i="1"/>
  <c r="N248" i="1"/>
  <c r="O248" i="1" s="1"/>
  <c r="K248" i="1"/>
  <c r="J248" i="1"/>
  <c r="L248" i="1" s="1"/>
  <c r="N289" i="1"/>
  <c r="O289" i="1" s="1"/>
  <c r="K289" i="1"/>
  <c r="J289" i="1"/>
  <c r="N288" i="1"/>
  <c r="O288" i="1" s="1"/>
  <c r="K288" i="1"/>
  <c r="J288" i="1"/>
  <c r="N287" i="1"/>
  <c r="O287" i="1" s="1"/>
  <c r="K287" i="1"/>
  <c r="J287" i="1"/>
  <c r="N286" i="1"/>
  <c r="O286" i="1" s="1"/>
  <c r="K286" i="1"/>
  <c r="J286" i="1"/>
  <c r="N285" i="1"/>
  <c r="O285" i="1" s="1"/>
  <c r="K285" i="1"/>
  <c r="J285" i="1"/>
  <c r="N284" i="1"/>
  <c r="O284" i="1" s="1"/>
  <c r="K284" i="1"/>
  <c r="J284" i="1"/>
  <c r="L284" i="1" s="1"/>
  <c r="N283" i="1"/>
  <c r="O283" i="1" s="1"/>
  <c r="K283" i="1"/>
  <c r="J283" i="1"/>
  <c r="N282" i="1"/>
  <c r="O282" i="1" s="1"/>
  <c r="K282" i="1"/>
  <c r="J282" i="1"/>
  <c r="N281" i="1"/>
  <c r="O281" i="1" s="1"/>
  <c r="K281" i="1"/>
  <c r="J281" i="1"/>
  <c r="L281" i="1" s="1"/>
  <c r="N280" i="1"/>
  <c r="O280" i="1" s="1"/>
  <c r="K280" i="1"/>
  <c r="J280" i="1"/>
  <c r="N279" i="1"/>
  <c r="O279" i="1" s="1"/>
  <c r="K279" i="1"/>
  <c r="J279" i="1"/>
  <c r="N278" i="1"/>
  <c r="O278" i="1" s="1"/>
  <c r="K278" i="1"/>
  <c r="J278" i="1"/>
  <c r="L278" i="1" s="1"/>
  <c r="N277" i="1"/>
  <c r="O277" i="1" s="1"/>
  <c r="K277" i="1"/>
  <c r="J277" i="1"/>
  <c r="N276" i="1"/>
  <c r="O276" i="1" s="1"/>
  <c r="K276" i="1"/>
  <c r="J276" i="1"/>
  <c r="L276" i="1" s="1"/>
  <c r="N275" i="1"/>
  <c r="O275" i="1" s="1"/>
  <c r="K275" i="1"/>
  <c r="J275" i="1"/>
  <c r="N274" i="1"/>
  <c r="O274" i="1" s="1"/>
  <c r="K274" i="1"/>
  <c r="J274" i="1"/>
  <c r="N273" i="1"/>
  <c r="O273" i="1" s="1"/>
  <c r="K273" i="1"/>
  <c r="J273" i="1"/>
  <c r="N272" i="1"/>
  <c r="O272" i="1" s="1"/>
  <c r="K272" i="1"/>
  <c r="J272" i="1"/>
  <c r="N271" i="1"/>
  <c r="O271" i="1" s="1"/>
  <c r="K271" i="1"/>
  <c r="J271" i="1"/>
  <c r="N270" i="1"/>
  <c r="O270" i="1" s="1"/>
  <c r="K270" i="1"/>
  <c r="J270" i="1"/>
  <c r="N269" i="1"/>
  <c r="O269" i="1" s="1"/>
  <c r="K269" i="1"/>
  <c r="J269" i="1"/>
  <c r="N332" i="1"/>
  <c r="O332" i="1" s="1"/>
  <c r="K332" i="1"/>
  <c r="J332" i="1"/>
  <c r="L332" i="1" s="1"/>
  <c r="N331" i="1"/>
  <c r="O331" i="1" s="1"/>
  <c r="K331" i="1"/>
  <c r="J331" i="1"/>
  <c r="N330" i="1"/>
  <c r="O330" i="1" s="1"/>
  <c r="K330" i="1"/>
  <c r="J330" i="1"/>
  <c r="N329" i="1"/>
  <c r="O329" i="1" s="1"/>
  <c r="K329" i="1"/>
  <c r="J329" i="1"/>
  <c r="N328" i="1"/>
  <c r="O328" i="1" s="1"/>
  <c r="K328" i="1"/>
  <c r="J328" i="1"/>
  <c r="L328" i="1" s="1"/>
  <c r="N327" i="1"/>
  <c r="O327" i="1" s="1"/>
  <c r="K327" i="1"/>
  <c r="J327" i="1"/>
  <c r="N326" i="1"/>
  <c r="O326" i="1" s="1"/>
  <c r="K326" i="1"/>
  <c r="J326" i="1"/>
  <c r="N325" i="1"/>
  <c r="O325" i="1" s="1"/>
  <c r="K325" i="1"/>
  <c r="J325" i="1"/>
  <c r="L325" i="1" s="1"/>
  <c r="N324" i="1"/>
  <c r="O324" i="1" s="1"/>
  <c r="K324" i="1"/>
  <c r="J324" i="1"/>
  <c r="N323" i="1"/>
  <c r="O323" i="1" s="1"/>
  <c r="K323" i="1"/>
  <c r="J323" i="1"/>
  <c r="N322" i="1"/>
  <c r="O322" i="1" s="1"/>
  <c r="K322" i="1"/>
  <c r="J322" i="1"/>
  <c r="N321" i="1"/>
  <c r="O321" i="1" s="1"/>
  <c r="K321" i="1"/>
  <c r="J321" i="1"/>
  <c r="N320" i="1"/>
  <c r="O320" i="1" s="1"/>
  <c r="K320" i="1"/>
  <c r="J320" i="1"/>
  <c r="L320" i="1" s="1"/>
  <c r="N319" i="1"/>
  <c r="O319" i="1" s="1"/>
  <c r="K319" i="1"/>
  <c r="J319" i="1"/>
  <c r="N318" i="1"/>
  <c r="O318" i="1" s="1"/>
  <c r="K318" i="1"/>
  <c r="J318" i="1"/>
  <c r="L318" i="1" s="1"/>
  <c r="N317" i="1"/>
  <c r="O317" i="1" s="1"/>
  <c r="K317" i="1"/>
  <c r="J317" i="1"/>
  <c r="N316" i="1"/>
  <c r="O316" i="1" s="1"/>
  <c r="K316" i="1"/>
  <c r="J316" i="1"/>
  <c r="L316" i="1" s="1"/>
  <c r="N315" i="1"/>
  <c r="O315" i="1" s="1"/>
  <c r="K315" i="1"/>
  <c r="J315" i="1"/>
  <c r="N314" i="1"/>
  <c r="O314" i="1" s="1"/>
  <c r="K314" i="1"/>
  <c r="J314" i="1"/>
  <c r="L314" i="1" s="1"/>
  <c r="N313" i="1"/>
  <c r="O313" i="1" s="1"/>
  <c r="K313" i="1"/>
  <c r="J313" i="1"/>
  <c r="N312" i="1"/>
  <c r="O312" i="1" s="1"/>
  <c r="K312" i="1"/>
  <c r="J312" i="1"/>
  <c r="L312" i="1" s="1"/>
  <c r="N354" i="1"/>
  <c r="O354" i="1" s="1"/>
  <c r="K354" i="1"/>
  <c r="J354" i="1"/>
  <c r="N353" i="1"/>
  <c r="O353" i="1" s="1"/>
  <c r="K353" i="1"/>
  <c r="J353" i="1"/>
  <c r="N352" i="1"/>
  <c r="O352" i="1" s="1"/>
  <c r="K352" i="1"/>
  <c r="J352" i="1"/>
  <c r="N351" i="1"/>
  <c r="O351" i="1" s="1"/>
  <c r="K351" i="1"/>
  <c r="J351" i="1"/>
  <c r="N350" i="1"/>
  <c r="O350" i="1" s="1"/>
  <c r="K350" i="1"/>
  <c r="J350" i="1"/>
  <c r="N349" i="1"/>
  <c r="O349" i="1" s="1"/>
  <c r="K349" i="1"/>
  <c r="J349" i="1"/>
  <c r="N348" i="1"/>
  <c r="O348" i="1" s="1"/>
  <c r="K348" i="1"/>
  <c r="J348" i="1"/>
  <c r="N347" i="1"/>
  <c r="O347" i="1" s="1"/>
  <c r="K347" i="1"/>
  <c r="J347" i="1"/>
  <c r="N346" i="1"/>
  <c r="O346" i="1" s="1"/>
  <c r="K346" i="1"/>
  <c r="J346" i="1"/>
  <c r="N345" i="1"/>
  <c r="O345" i="1" s="1"/>
  <c r="K345" i="1"/>
  <c r="J345" i="1"/>
  <c r="L345" i="1" s="1"/>
  <c r="N344" i="1"/>
  <c r="O344" i="1" s="1"/>
  <c r="K344" i="1"/>
  <c r="J344" i="1"/>
  <c r="N343" i="1"/>
  <c r="O343" i="1" s="1"/>
  <c r="K343" i="1"/>
  <c r="J343" i="1"/>
  <c r="L343" i="1" s="1"/>
  <c r="N342" i="1"/>
  <c r="O342" i="1" s="1"/>
  <c r="K342" i="1"/>
  <c r="J342" i="1"/>
  <c r="N341" i="1"/>
  <c r="O341" i="1" s="1"/>
  <c r="K341" i="1"/>
  <c r="J341" i="1"/>
  <c r="L341" i="1" s="1"/>
  <c r="N340" i="1"/>
  <c r="O340" i="1" s="1"/>
  <c r="K340" i="1"/>
  <c r="J340" i="1"/>
  <c r="N339" i="1"/>
  <c r="O339" i="1" s="1"/>
  <c r="K339" i="1"/>
  <c r="J339" i="1"/>
  <c r="N338" i="1"/>
  <c r="O338" i="1" s="1"/>
  <c r="K338" i="1"/>
  <c r="J338" i="1"/>
  <c r="N337" i="1"/>
  <c r="O337" i="1" s="1"/>
  <c r="K337" i="1"/>
  <c r="J337" i="1"/>
  <c r="N336" i="1"/>
  <c r="O336" i="1" s="1"/>
  <c r="K336" i="1"/>
  <c r="J336" i="1"/>
  <c r="N335" i="1"/>
  <c r="O335" i="1" s="1"/>
  <c r="K335" i="1"/>
  <c r="J335" i="1"/>
  <c r="L335" i="1" s="1"/>
  <c r="N334" i="1"/>
  <c r="O334" i="1" s="1"/>
  <c r="K334" i="1"/>
  <c r="J334" i="1"/>
  <c r="L334" i="1" s="1"/>
  <c r="N333" i="1"/>
  <c r="O333" i="1" s="1"/>
  <c r="K333" i="1"/>
  <c r="J333" i="1"/>
  <c r="L333" i="1" s="1"/>
  <c r="N418" i="1"/>
  <c r="O418" i="1" s="1"/>
  <c r="K418" i="1"/>
  <c r="J418" i="1"/>
  <c r="N417" i="1"/>
  <c r="O417" i="1" s="1"/>
  <c r="K417" i="1"/>
  <c r="J417" i="1"/>
  <c r="N416" i="1"/>
  <c r="O416" i="1" s="1"/>
  <c r="K416" i="1"/>
  <c r="J416" i="1"/>
  <c r="L416" i="1" s="1"/>
  <c r="N415" i="1"/>
  <c r="O415" i="1" s="1"/>
  <c r="K415" i="1"/>
  <c r="J415" i="1"/>
  <c r="N414" i="1"/>
  <c r="O414" i="1" s="1"/>
  <c r="K414" i="1"/>
  <c r="J414" i="1"/>
  <c r="N413" i="1"/>
  <c r="O413" i="1" s="1"/>
  <c r="K413" i="1"/>
  <c r="J413" i="1"/>
  <c r="N412" i="1"/>
  <c r="O412" i="1" s="1"/>
  <c r="K412" i="1"/>
  <c r="J412" i="1"/>
  <c r="N411" i="1"/>
  <c r="O411" i="1" s="1"/>
  <c r="K411" i="1"/>
  <c r="J411" i="1"/>
  <c r="N410" i="1"/>
  <c r="O410" i="1" s="1"/>
  <c r="K410" i="1"/>
  <c r="J410" i="1"/>
  <c r="L410" i="1" s="1"/>
  <c r="N409" i="1"/>
  <c r="O409" i="1" s="1"/>
  <c r="K409" i="1"/>
  <c r="J409" i="1"/>
  <c r="N408" i="1"/>
  <c r="O408" i="1" s="1"/>
  <c r="K408" i="1"/>
  <c r="J408" i="1"/>
  <c r="N407" i="1"/>
  <c r="O407" i="1" s="1"/>
  <c r="K407" i="1"/>
  <c r="J407" i="1"/>
  <c r="N406" i="1"/>
  <c r="O406" i="1" s="1"/>
  <c r="K406" i="1"/>
  <c r="J406" i="1"/>
  <c r="N405" i="1"/>
  <c r="O405" i="1" s="1"/>
  <c r="K405" i="1"/>
  <c r="J405" i="1"/>
  <c r="L405" i="1" s="1"/>
  <c r="N404" i="1"/>
  <c r="O404" i="1" s="1"/>
  <c r="K404" i="1"/>
  <c r="J404" i="1"/>
  <c r="N403" i="1"/>
  <c r="O403" i="1" s="1"/>
  <c r="K403" i="1"/>
  <c r="J403" i="1"/>
  <c r="N402" i="1"/>
  <c r="O402" i="1" s="1"/>
  <c r="K402" i="1"/>
  <c r="J402" i="1"/>
  <c r="N401" i="1"/>
  <c r="O401" i="1" s="1"/>
  <c r="K401" i="1"/>
  <c r="J401" i="1"/>
  <c r="N400" i="1"/>
  <c r="O400" i="1" s="1"/>
  <c r="K400" i="1"/>
  <c r="J400" i="1"/>
  <c r="N399" i="1"/>
  <c r="O399" i="1" s="1"/>
  <c r="K399" i="1"/>
  <c r="J399" i="1"/>
  <c r="L399" i="1" s="1"/>
  <c r="N398" i="1"/>
  <c r="O398" i="1" s="1"/>
  <c r="K398" i="1"/>
  <c r="J398" i="1"/>
  <c r="N376" i="1"/>
  <c r="O376" i="1" s="1"/>
  <c r="K376" i="1"/>
  <c r="J376" i="1"/>
  <c r="N375" i="1"/>
  <c r="O375" i="1" s="1"/>
  <c r="K375" i="1"/>
  <c r="J375" i="1"/>
  <c r="N374" i="1"/>
  <c r="O374" i="1" s="1"/>
  <c r="K374" i="1"/>
  <c r="J374" i="1"/>
  <c r="N373" i="1"/>
  <c r="O373" i="1" s="1"/>
  <c r="K373" i="1"/>
  <c r="J373" i="1"/>
  <c r="N372" i="1"/>
  <c r="O372" i="1" s="1"/>
  <c r="K372" i="1"/>
  <c r="J372" i="1"/>
  <c r="N371" i="1"/>
  <c r="O371" i="1" s="1"/>
  <c r="K371" i="1"/>
  <c r="J371" i="1"/>
  <c r="L371" i="1" s="1"/>
  <c r="N370" i="1"/>
  <c r="O370" i="1" s="1"/>
  <c r="K370" i="1"/>
  <c r="J370" i="1"/>
  <c r="N369" i="1"/>
  <c r="O369" i="1" s="1"/>
  <c r="K369" i="1"/>
  <c r="J369" i="1"/>
  <c r="N368" i="1"/>
  <c r="O368" i="1" s="1"/>
  <c r="K368" i="1"/>
  <c r="J368" i="1"/>
  <c r="N367" i="1"/>
  <c r="O367" i="1" s="1"/>
  <c r="K367" i="1"/>
  <c r="J367" i="1"/>
  <c r="N366" i="1"/>
  <c r="O366" i="1" s="1"/>
  <c r="K366" i="1"/>
  <c r="J366" i="1"/>
  <c r="L366" i="1" s="1"/>
  <c r="N365" i="1"/>
  <c r="O365" i="1" s="1"/>
  <c r="K365" i="1"/>
  <c r="J365" i="1"/>
  <c r="N364" i="1"/>
  <c r="O364" i="1" s="1"/>
  <c r="K364" i="1"/>
  <c r="J364" i="1"/>
  <c r="N363" i="1"/>
  <c r="O363" i="1" s="1"/>
  <c r="K363" i="1"/>
  <c r="J363" i="1"/>
  <c r="N362" i="1"/>
  <c r="O362" i="1" s="1"/>
  <c r="K362" i="1"/>
  <c r="J362" i="1"/>
  <c r="N361" i="1"/>
  <c r="O361" i="1" s="1"/>
  <c r="K361" i="1"/>
  <c r="J361" i="1"/>
  <c r="N360" i="1"/>
  <c r="O360" i="1" s="1"/>
  <c r="K360" i="1"/>
  <c r="J360" i="1"/>
  <c r="N359" i="1"/>
  <c r="O359" i="1" s="1"/>
  <c r="K359" i="1"/>
  <c r="J359" i="1"/>
  <c r="N358" i="1"/>
  <c r="O358" i="1" s="1"/>
  <c r="K358" i="1"/>
  <c r="J358" i="1"/>
  <c r="L358" i="1" s="1"/>
  <c r="N357" i="1"/>
  <c r="O357" i="1" s="1"/>
  <c r="K357" i="1"/>
  <c r="J357" i="1"/>
  <c r="L357" i="1" s="1"/>
  <c r="N356" i="1"/>
  <c r="O356" i="1" s="1"/>
  <c r="K356" i="1"/>
  <c r="J356" i="1"/>
  <c r="N355" i="1"/>
  <c r="O355" i="1" s="1"/>
  <c r="K355" i="1"/>
  <c r="J355" i="1"/>
  <c r="N397" i="1"/>
  <c r="O397" i="1" s="1"/>
  <c r="K397" i="1"/>
  <c r="J397" i="1"/>
  <c r="N396" i="1"/>
  <c r="O396" i="1" s="1"/>
  <c r="K396" i="1"/>
  <c r="J396" i="1"/>
  <c r="L396" i="1" s="1"/>
  <c r="N395" i="1"/>
  <c r="O395" i="1" s="1"/>
  <c r="K395" i="1"/>
  <c r="J395" i="1"/>
  <c r="N394" i="1"/>
  <c r="O394" i="1" s="1"/>
  <c r="K394" i="1"/>
  <c r="J394" i="1"/>
  <c r="N393" i="1"/>
  <c r="O393" i="1" s="1"/>
  <c r="K393" i="1"/>
  <c r="J393" i="1"/>
  <c r="L393" i="1" s="1"/>
  <c r="N392" i="1"/>
  <c r="O392" i="1" s="1"/>
  <c r="K392" i="1"/>
  <c r="J392" i="1"/>
  <c r="N391" i="1"/>
  <c r="O391" i="1" s="1"/>
  <c r="K391" i="1"/>
  <c r="J391" i="1"/>
  <c r="N390" i="1"/>
  <c r="O390" i="1" s="1"/>
  <c r="K390" i="1"/>
  <c r="J390" i="1"/>
  <c r="L390" i="1" s="1"/>
  <c r="N389" i="1"/>
  <c r="O389" i="1" s="1"/>
  <c r="K389" i="1"/>
  <c r="J389" i="1"/>
  <c r="N388" i="1"/>
  <c r="O388" i="1" s="1"/>
  <c r="K388" i="1"/>
  <c r="J388" i="1"/>
  <c r="N387" i="1"/>
  <c r="O387" i="1" s="1"/>
  <c r="K387" i="1"/>
  <c r="J387" i="1"/>
  <c r="N386" i="1"/>
  <c r="O386" i="1" s="1"/>
  <c r="K386" i="1"/>
  <c r="J386" i="1"/>
  <c r="N385" i="1"/>
  <c r="O385" i="1" s="1"/>
  <c r="K385" i="1"/>
  <c r="J385" i="1"/>
  <c r="N384" i="1"/>
  <c r="O384" i="1" s="1"/>
  <c r="K384" i="1"/>
  <c r="J384" i="1"/>
  <c r="N383" i="1"/>
  <c r="O383" i="1" s="1"/>
  <c r="K383" i="1"/>
  <c r="J383" i="1"/>
  <c r="N382" i="1"/>
  <c r="O382" i="1" s="1"/>
  <c r="K382" i="1"/>
  <c r="J382" i="1"/>
  <c r="N381" i="1"/>
  <c r="O381" i="1" s="1"/>
  <c r="K381" i="1"/>
  <c r="J381" i="1"/>
  <c r="N380" i="1"/>
  <c r="O380" i="1" s="1"/>
  <c r="K380" i="1"/>
  <c r="J380" i="1"/>
  <c r="N379" i="1"/>
  <c r="O379" i="1" s="1"/>
  <c r="K379" i="1"/>
  <c r="J379" i="1"/>
  <c r="L379" i="1" s="1"/>
  <c r="N378" i="1"/>
  <c r="O378" i="1" s="1"/>
  <c r="K378" i="1"/>
  <c r="J378" i="1"/>
  <c r="L378" i="1" s="1"/>
  <c r="R377" i="1"/>
  <c r="N440" i="1"/>
  <c r="O440" i="1" s="1"/>
  <c r="K440" i="1"/>
  <c r="J440" i="1"/>
  <c r="N439" i="1"/>
  <c r="O439" i="1" s="1"/>
  <c r="K439" i="1"/>
  <c r="J439" i="1"/>
  <c r="L439" i="1" s="1"/>
  <c r="N438" i="1"/>
  <c r="O438" i="1" s="1"/>
  <c r="K438" i="1"/>
  <c r="J438" i="1"/>
  <c r="N437" i="1"/>
  <c r="O437" i="1" s="1"/>
  <c r="K437" i="1"/>
  <c r="J437" i="1"/>
  <c r="L437" i="1" s="1"/>
  <c r="N436" i="1"/>
  <c r="O436" i="1" s="1"/>
  <c r="K436" i="1"/>
  <c r="J436" i="1"/>
  <c r="N435" i="1"/>
  <c r="O435" i="1" s="1"/>
  <c r="K435" i="1"/>
  <c r="J435" i="1"/>
  <c r="L435" i="1" s="1"/>
  <c r="N434" i="1"/>
  <c r="O434" i="1" s="1"/>
  <c r="K434" i="1"/>
  <c r="J434" i="1"/>
  <c r="N433" i="1"/>
  <c r="O433" i="1" s="1"/>
  <c r="K433" i="1"/>
  <c r="J433" i="1"/>
  <c r="L433" i="1" s="1"/>
  <c r="N432" i="1"/>
  <c r="O432" i="1" s="1"/>
  <c r="K432" i="1"/>
  <c r="J432" i="1"/>
  <c r="L432" i="1" s="1"/>
  <c r="N431" i="1"/>
  <c r="O431" i="1" s="1"/>
  <c r="K431" i="1"/>
  <c r="J431" i="1"/>
  <c r="N430" i="1"/>
  <c r="O430" i="1" s="1"/>
  <c r="K430" i="1"/>
  <c r="J430" i="1"/>
  <c r="N429" i="1"/>
  <c r="O429" i="1" s="1"/>
  <c r="K429" i="1"/>
  <c r="J429" i="1"/>
  <c r="N428" i="1"/>
  <c r="O428" i="1" s="1"/>
  <c r="K428" i="1"/>
  <c r="J428" i="1"/>
  <c r="N427" i="1"/>
  <c r="O427" i="1" s="1"/>
  <c r="K427" i="1"/>
  <c r="J427" i="1"/>
  <c r="N426" i="1"/>
  <c r="O426" i="1" s="1"/>
  <c r="K426" i="1"/>
  <c r="J426" i="1"/>
  <c r="N425" i="1"/>
  <c r="O425" i="1" s="1"/>
  <c r="K425" i="1"/>
  <c r="J425" i="1"/>
  <c r="N424" i="1"/>
  <c r="O424" i="1" s="1"/>
  <c r="K424" i="1"/>
  <c r="J424" i="1"/>
  <c r="N423" i="1"/>
  <c r="O423" i="1" s="1"/>
  <c r="K423" i="1"/>
  <c r="J423" i="1"/>
  <c r="N422" i="1"/>
  <c r="O422" i="1" s="1"/>
  <c r="K422" i="1"/>
  <c r="J422" i="1"/>
  <c r="N421" i="1"/>
  <c r="O421" i="1" s="1"/>
  <c r="K421" i="1"/>
  <c r="J421" i="1"/>
  <c r="N420" i="1"/>
  <c r="O420" i="1" s="1"/>
  <c r="K420" i="1"/>
  <c r="J420" i="1"/>
  <c r="N419" i="1"/>
  <c r="O419" i="1" s="1"/>
  <c r="K419" i="1"/>
  <c r="J419" i="1"/>
  <c r="L419" i="1" s="1"/>
  <c r="N35" i="1"/>
  <c r="O35" i="1" s="1"/>
  <c r="K35" i="1"/>
  <c r="J35" i="1"/>
  <c r="L35" i="1" s="1"/>
  <c r="N34" i="1"/>
  <c r="O34" i="1" s="1"/>
  <c r="K34" i="1"/>
  <c r="J34" i="1"/>
  <c r="N33" i="1"/>
  <c r="O33" i="1" s="1"/>
  <c r="K33" i="1"/>
  <c r="J33" i="1"/>
  <c r="N32" i="1"/>
  <c r="O32" i="1" s="1"/>
  <c r="K32" i="1"/>
  <c r="J32" i="1"/>
  <c r="N31" i="1"/>
  <c r="O31" i="1" s="1"/>
  <c r="K31" i="1"/>
  <c r="J31" i="1"/>
  <c r="N30" i="1"/>
  <c r="O30" i="1" s="1"/>
  <c r="K30" i="1"/>
  <c r="J30" i="1"/>
  <c r="N29" i="1"/>
  <c r="O29" i="1" s="1"/>
  <c r="K29" i="1"/>
  <c r="J29" i="1"/>
  <c r="N28" i="1"/>
  <c r="O28" i="1" s="1"/>
  <c r="K28" i="1"/>
  <c r="J28" i="1"/>
  <c r="N27" i="1"/>
  <c r="O27" i="1" s="1"/>
  <c r="K27" i="1"/>
  <c r="J27" i="1"/>
  <c r="N26" i="1"/>
  <c r="O26" i="1" s="1"/>
  <c r="K26" i="1"/>
  <c r="J26" i="1"/>
  <c r="N25" i="1"/>
  <c r="O25" i="1" s="1"/>
  <c r="K25" i="1"/>
  <c r="J25" i="1"/>
  <c r="L25" i="1" s="1"/>
  <c r="N24" i="1"/>
  <c r="O24" i="1" s="1"/>
  <c r="K24" i="1"/>
  <c r="J24" i="1"/>
  <c r="N23" i="1"/>
  <c r="O23" i="1" s="1"/>
  <c r="K23" i="1"/>
  <c r="J23" i="1"/>
  <c r="N22" i="1"/>
  <c r="O22" i="1" s="1"/>
  <c r="K22" i="1"/>
  <c r="J22" i="1"/>
  <c r="N21" i="1"/>
  <c r="O21" i="1" s="1"/>
  <c r="K21" i="1"/>
  <c r="J21" i="1"/>
  <c r="L21" i="1" s="1"/>
  <c r="N20" i="1"/>
  <c r="O20" i="1" s="1"/>
  <c r="K20" i="1"/>
  <c r="J20" i="1"/>
  <c r="N19" i="1"/>
  <c r="O19" i="1" s="1"/>
  <c r="K19" i="1"/>
  <c r="J19" i="1"/>
  <c r="N18" i="1"/>
  <c r="O18" i="1" s="1"/>
  <c r="K18" i="1"/>
  <c r="J18" i="1"/>
  <c r="N17" i="1"/>
  <c r="O17" i="1" s="1"/>
  <c r="K17" i="1"/>
  <c r="J17" i="1"/>
  <c r="N16" i="1"/>
  <c r="O16" i="1" s="1"/>
  <c r="K16" i="1"/>
  <c r="J16" i="1"/>
  <c r="L16" i="1" s="1"/>
  <c r="N15" i="1"/>
  <c r="O15" i="1" s="1"/>
  <c r="K15" i="1"/>
  <c r="J15" i="1"/>
  <c r="N99" i="1"/>
  <c r="O99" i="1" s="1"/>
  <c r="N98" i="1"/>
  <c r="O98" i="1" s="1"/>
  <c r="K98" i="1"/>
  <c r="J98" i="1"/>
  <c r="N97" i="1"/>
  <c r="O97" i="1" s="1"/>
  <c r="K97" i="1"/>
  <c r="J97" i="1"/>
  <c r="L97" i="1" s="1"/>
  <c r="N96" i="1"/>
  <c r="O96" i="1" s="1"/>
  <c r="K96" i="1"/>
  <c r="J96" i="1"/>
  <c r="N95" i="1"/>
  <c r="O95" i="1" s="1"/>
  <c r="K95" i="1"/>
  <c r="J95" i="1"/>
  <c r="N94" i="1"/>
  <c r="O94" i="1" s="1"/>
  <c r="K94" i="1"/>
  <c r="J94" i="1"/>
  <c r="N93" i="1"/>
  <c r="O93" i="1" s="1"/>
  <c r="K93" i="1"/>
  <c r="J93" i="1"/>
  <c r="N92" i="1"/>
  <c r="O92" i="1" s="1"/>
  <c r="K92" i="1"/>
  <c r="J92" i="1"/>
  <c r="N91" i="1"/>
  <c r="O91" i="1" s="1"/>
  <c r="K91" i="1"/>
  <c r="J91" i="1"/>
  <c r="N90" i="1"/>
  <c r="O90" i="1" s="1"/>
  <c r="K90" i="1"/>
  <c r="J90" i="1"/>
  <c r="N89" i="1"/>
  <c r="O89" i="1" s="1"/>
  <c r="K89" i="1"/>
  <c r="J89" i="1"/>
  <c r="L89" i="1" s="1"/>
  <c r="N88" i="1"/>
  <c r="O88" i="1" s="1"/>
  <c r="K88" i="1"/>
  <c r="J88" i="1"/>
  <c r="L88" i="1" s="1"/>
  <c r="N87" i="1"/>
  <c r="O87" i="1" s="1"/>
  <c r="K87" i="1"/>
  <c r="J87" i="1"/>
  <c r="L87" i="1" s="1"/>
  <c r="N86" i="1"/>
  <c r="O86" i="1" s="1"/>
  <c r="K86" i="1"/>
  <c r="J86" i="1"/>
  <c r="N85" i="1"/>
  <c r="O85" i="1" s="1"/>
  <c r="K85" i="1"/>
  <c r="J85" i="1"/>
  <c r="L85" i="1" s="1"/>
  <c r="N84" i="1"/>
  <c r="O84" i="1" s="1"/>
  <c r="K84" i="1"/>
  <c r="J84" i="1"/>
  <c r="N83" i="1"/>
  <c r="O83" i="1" s="1"/>
  <c r="K83" i="1"/>
  <c r="J83" i="1"/>
  <c r="N82" i="1"/>
  <c r="O82" i="1" s="1"/>
  <c r="K82" i="1"/>
  <c r="J82" i="1"/>
  <c r="N81" i="1"/>
  <c r="O81" i="1" s="1"/>
  <c r="K81" i="1"/>
  <c r="J81" i="1"/>
  <c r="N80" i="1"/>
  <c r="O80" i="1" s="1"/>
  <c r="K80" i="1"/>
  <c r="J80" i="1"/>
  <c r="N79" i="1"/>
  <c r="O79" i="1" s="1"/>
  <c r="K79" i="1"/>
  <c r="J79" i="1"/>
  <c r="N56" i="1"/>
  <c r="O56" i="1" s="1"/>
  <c r="K56" i="1"/>
  <c r="J56" i="1"/>
  <c r="R55" i="1"/>
  <c r="N54" i="1"/>
  <c r="O54" i="1" s="1"/>
  <c r="K54" i="1"/>
  <c r="J54" i="1"/>
  <c r="L54" i="1" s="1"/>
  <c r="N53" i="1"/>
  <c r="O53" i="1" s="1"/>
  <c r="K53" i="1"/>
  <c r="J53" i="1"/>
  <c r="N52" i="1"/>
  <c r="O52" i="1" s="1"/>
  <c r="K52" i="1"/>
  <c r="J52" i="1"/>
  <c r="N51" i="1"/>
  <c r="O51" i="1" s="1"/>
  <c r="K51" i="1"/>
  <c r="J51" i="1"/>
  <c r="N50" i="1"/>
  <c r="O50" i="1" s="1"/>
  <c r="K50" i="1"/>
  <c r="J50" i="1"/>
  <c r="L50" i="1" s="1"/>
  <c r="N49" i="1"/>
  <c r="O49" i="1" s="1"/>
  <c r="K49" i="1"/>
  <c r="J49" i="1"/>
  <c r="N48" i="1"/>
  <c r="O48" i="1" s="1"/>
  <c r="K48" i="1"/>
  <c r="J48" i="1"/>
  <c r="N47" i="1"/>
  <c r="O47" i="1" s="1"/>
  <c r="K47" i="1"/>
  <c r="J47" i="1"/>
  <c r="N46" i="1"/>
  <c r="O46" i="1" s="1"/>
  <c r="K46" i="1"/>
  <c r="J46" i="1"/>
  <c r="N45" i="1"/>
  <c r="O45" i="1" s="1"/>
  <c r="K45" i="1"/>
  <c r="J45" i="1"/>
  <c r="N44" i="1"/>
  <c r="O44" i="1" s="1"/>
  <c r="K44" i="1"/>
  <c r="J44" i="1"/>
  <c r="N43" i="1"/>
  <c r="O43" i="1" s="1"/>
  <c r="K43" i="1"/>
  <c r="J43" i="1"/>
  <c r="N42" i="1"/>
  <c r="O42" i="1" s="1"/>
  <c r="K42" i="1"/>
  <c r="J42" i="1"/>
  <c r="N41" i="1"/>
  <c r="O41" i="1" s="1"/>
  <c r="K41" i="1"/>
  <c r="J41" i="1"/>
  <c r="L41" i="1" s="1"/>
  <c r="N40" i="1"/>
  <c r="O40" i="1" s="1"/>
  <c r="K40" i="1"/>
  <c r="J40" i="1"/>
  <c r="N39" i="1"/>
  <c r="O39" i="1" s="1"/>
  <c r="K39" i="1"/>
  <c r="J39" i="1"/>
  <c r="N38" i="1"/>
  <c r="O38" i="1" s="1"/>
  <c r="K38" i="1"/>
  <c r="J38" i="1"/>
  <c r="N37" i="1"/>
  <c r="O37" i="1" s="1"/>
  <c r="K37" i="1"/>
  <c r="J37" i="1"/>
  <c r="N36" i="1"/>
  <c r="O36" i="1" s="1"/>
  <c r="K36" i="1"/>
  <c r="J36" i="1"/>
  <c r="N78" i="1"/>
  <c r="O78" i="1" s="1"/>
  <c r="K78" i="1"/>
  <c r="J78" i="1"/>
  <c r="N77" i="1"/>
  <c r="O77" i="1" s="1"/>
  <c r="K77" i="1"/>
  <c r="J77" i="1"/>
  <c r="L77" i="1" s="1"/>
  <c r="N76" i="1"/>
  <c r="O76" i="1" s="1"/>
  <c r="K76" i="1"/>
  <c r="J76" i="1"/>
  <c r="N75" i="1"/>
  <c r="O75" i="1" s="1"/>
  <c r="K75" i="1"/>
  <c r="J75" i="1"/>
  <c r="N74" i="1"/>
  <c r="O74" i="1" s="1"/>
  <c r="K74" i="1"/>
  <c r="J74" i="1"/>
  <c r="L74" i="1" s="1"/>
  <c r="N73" i="1"/>
  <c r="O73" i="1" s="1"/>
  <c r="K73" i="1"/>
  <c r="J73" i="1"/>
  <c r="N72" i="1"/>
  <c r="O72" i="1" s="1"/>
  <c r="K72" i="1"/>
  <c r="J72" i="1"/>
  <c r="N71" i="1"/>
  <c r="O71" i="1" s="1"/>
  <c r="K71" i="1"/>
  <c r="J71" i="1"/>
  <c r="N70" i="1"/>
  <c r="O70" i="1" s="1"/>
  <c r="K70" i="1"/>
  <c r="J70" i="1"/>
  <c r="L70" i="1" s="1"/>
  <c r="N69" i="1"/>
  <c r="O69" i="1" s="1"/>
  <c r="K69" i="1"/>
  <c r="J69" i="1"/>
  <c r="N68" i="1"/>
  <c r="O68" i="1" s="1"/>
  <c r="K68" i="1"/>
  <c r="J68" i="1"/>
  <c r="L68" i="1" s="1"/>
  <c r="N67" i="1"/>
  <c r="O67" i="1" s="1"/>
  <c r="K67" i="1"/>
  <c r="J67" i="1"/>
  <c r="N66" i="1"/>
  <c r="O66" i="1" s="1"/>
  <c r="K66" i="1"/>
  <c r="J66" i="1"/>
  <c r="N65" i="1"/>
  <c r="O65" i="1" s="1"/>
  <c r="K65" i="1"/>
  <c r="J65" i="1"/>
  <c r="N64" i="1"/>
  <c r="O64" i="1" s="1"/>
  <c r="K64" i="1"/>
  <c r="J64" i="1"/>
  <c r="N63" i="1"/>
  <c r="O63" i="1" s="1"/>
  <c r="K63" i="1"/>
  <c r="J63" i="1"/>
  <c r="N62" i="1"/>
  <c r="O62" i="1" s="1"/>
  <c r="K62" i="1"/>
  <c r="J62" i="1"/>
  <c r="N61" i="1"/>
  <c r="O61" i="1" s="1"/>
  <c r="K61" i="1"/>
  <c r="J61" i="1"/>
  <c r="N60" i="1"/>
  <c r="O60" i="1" s="1"/>
  <c r="K60" i="1"/>
  <c r="J60" i="1"/>
  <c r="N59" i="1"/>
  <c r="O59" i="1" s="1"/>
  <c r="K59" i="1"/>
  <c r="J59" i="1"/>
  <c r="N58" i="1"/>
  <c r="O58" i="1" s="1"/>
  <c r="K58" i="1"/>
  <c r="J58" i="1"/>
  <c r="L58" i="1" s="1"/>
  <c r="N57" i="1"/>
  <c r="O57" i="1" s="1"/>
  <c r="K57" i="1"/>
  <c r="J57" i="1"/>
  <c r="L57" i="1" s="1"/>
  <c r="N120" i="1"/>
  <c r="O120" i="1" s="1"/>
  <c r="K120" i="1"/>
  <c r="J120" i="1"/>
  <c r="N119" i="1"/>
  <c r="O119" i="1" s="1"/>
  <c r="K119" i="1"/>
  <c r="J119" i="1"/>
  <c r="N118" i="1"/>
  <c r="O118" i="1" s="1"/>
  <c r="K118" i="1"/>
  <c r="J118" i="1"/>
  <c r="N117" i="1"/>
  <c r="O117" i="1" s="1"/>
  <c r="K117" i="1"/>
  <c r="J117" i="1"/>
  <c r="N116" i="1"/>
  <c r="O116" i="1" s="1"/>
  <c r="K116" i="1"/>
  <c r="J116" i="1"/>
  <c r="N115" i="1"/>
  <c r="O115" i="1" s="1"/>
  <c r="K115" i="1"/>
  <c r="J115" i="1"/>
  <c r="N114" i="1"/>
  <c r="O114" i="1" s="1"/>
  <c r="K114" i="1"/>
  <c r="J114" i="1"/>
  <c r="N113" i="1"/>
  <c r="O113" i="1" s="1"/>
  <c r="K113" i="1"/>
  <c r="J113" i="1"/>
  <c r="N112" i="1"/>
  <c r="O112" i="1" s="1"/>
  <c r="K112" i="1"/>
  <c r="J112" i="1"/>
  <c r="N111" i="1"/>
  <c r="O111" i="1" s="1"/>
  <c r="K111" i="1"/>
  <c r="J111" i="1"/>
  <c r="N110" i="1"/>
  <c r="O110" i="1" s="1"/>
  <c r="K110" i="1"/>
  <c r="J110" i="1"/>
  <c r="N109" i="1"/>
  <c r="O109" i="1" s="1"/>
  <c r="K109" i="1"/>
  <c r="J109" i="1"/>
  <c r="N108" i="1"/>
  <c r="O108" i="1" s="1"/>
  <c r="K108" i="1"/>
  <c r="J108" i="1"/>
  <c r="L108" i="1" s="1"/>
  <c r="N107" i="1"/>
  <c r="O107" i="1" s="1"/>
  <c r="K107" i="1"/>
  <c r="J107" i="1"/>
  <c r="L107" i="1" s="1"/>
  <c r="N106" i="1"/>
  <c r="O106" i="1" s="1"/>
  <c r="K106" i="1"/>
  <c r="J106" i="1"/>
  <c r="N105" i="1"/>
  <c r="O105" i="1" s="1"/>
  <c r="K105" i="1"/>
  <c r="J105" i="1"/>
  <c r="N104" i="1"/>
  <c r="O104" i="1" s="1"/>
  <c r="K104" i="1"/>
  <c r="J104" i="1"/>
  <c r="N103" i="1"/>
  <c r="O103" i="1" s="1"/>
  <c r="K103" i="1"/>
  <c r="J103" i="1"/>
  <c r="N102" i="1"/>
  <c r="O102" i="1" s="1"/>
  <c r="K102" i="1"/>
  <c r="J102" i="1"/>
  <c r="N101" i="1"/>
  <c r="O101" i="1" s="1"/>
  <c r="K101" i="1"/>
  <c r="J101" i="1"/>
  <c r="L101" i="1" s="1"/>
  <c r="N100" i="1"/>
  <c r="O100" i="1" s="1"/>
  <c r="K100" i="1"/>
  <c r="J100" i="1"/>
  <c r="N141" i="1"/>
  <c r="O141" i="1" s="1"/>
  <c r="K141" i="1"/>
  <c r="J141" i="1"/>
  <c r="L141" i="1" s="1"/>
  <c r="N140" i="1"/>
  <c r="O140" i="1" s="1"/>
  <c r="K140" i="1"/>
  <c r="J140" i="1"/>
  <c r="N139" i="1"/>
  <c r="O139" i="1" s="1"/>
  <c r="K139" i="1"/>
  <c r="J139" i="1"/>
  <c r="N138" i="1"/>
  <c r="O138" i="1" s="1"/>
  <c r="K138" i="1"/>
  <c r="J138" i="1"/>
  <c r="N137" i="1"/>
  <c r="O137" i="1" s="1"/>
  <c r="K137" i="1"/>
  <c r="J137" i="1"/>
  <c r="N136" i="1"/>
  <c r="O136" i="1" s="1"/>
  <c r="K136" i="1"/>
  <c r="J136" i="1"/>
  <c r="N135" i="1"/>
  <c r="O135" i="1" s="1"/>
  <c r="K135" i="1"/>
  <c r="J135" i="1"/>
  <c r="N134" i="1"/>
  <c r="O134" i="1" s="1"/>
  <c r="K134" i="1"/>
  <c r="J134" i="1"/>
  <c r="N133" i="1"/>
  <c r="O133" i="1" s="1"/>
  <c r="K133" i="1"/>
  <c r="J133" i="1"/>
  <c r="L133" i="1" s="1"/>
  <c r="N132" i="1"/>
  <c r="O132" i="1" s="1"/>
  <c r="K132" i="1"/>
  <c r="J132" i="1"/>
  <c r="L132" i="1" s="1"/>
  <c r="N131" i="1"/>
  <c r="O131" i="1" s="1"/>
  <c r="K131" i="1"/>
  <c r="J131" i="1"/>
  <c r="N130" i="1"/>
  <c r="O130" i="1" s="1"/>
  <c r="K130" i="1"/>
  <c r="J130" i="1"/>
  <c r="N129" i="1"/>
  <c r="O129" i="1" s="1"/>
  <c r="K129" i="1"/>
  <c r="J129" i="1"/>
  <c r="N128" i="1"/>
  <c r="O128" i="1" s="1"/>
  <c r="K128" i="1"/>
  <c r="J128" i="1"/>
  <c r="N127" i="1"/>
  <c r="O127" i="1" s="1"/>
  <c r="K127" i="1"/>
  <c r="J127" i="1"/>
  <c r="L127" i="1" s="1"/>
  <c r="N126" i="1"/>
  <c r="O126" i="1" s="1"/>
  <c r="K126" i="1"/>
  <c r="J126" i="1"/>
  <c r="N125" i="1"/>
  <c r="O125" i="1" s="1"/>
  <c r="K125" i="1"/>
  <c r="J125" i="1"/>
  <c r="N124" i="1"/>
  <c r="O124" i="1" s="1"/>
  <c r="K124" i="1"/>
  <c r="J124" i="1"/>
  <c r="L124" i="1" s="1"/>
  <c r="N123" i="1"/>
  <c r="O123" i="1" s="1"/>
  <c r="K123" i="1"/>
  <c r="J123" i="1"/>
  <c r="L123" i="1" s="1"/>
  <c r="N122" i="1"/>
  <c r="O122" i="1" s="1"/>
  <c r="K122" i="1"/>
  <c r="J122" i="1"/>
  <c r="N121" i="1"/>
  <c r="O121" i="1" s="1"/>
  <c r="K121" i="1"/>
  <c r="J121" i="1"/>
  <c r="L121" i="1" s="1"/>
  <c r="N204" i="1"/>
  <c r="O204" i="1" s="1"/>
  <c r="K204" i="1"/>
  <c r="J204" i="1"/>
  <c r="N203" i="1"/>
  <c r="O203" i="1" s="1"/>
  <c r="K203" i="1"/>
  <c r="J203" i="1"/>
  <c r="N202" i="1"/>
  <c r="O202" i="1" s="1"/>
  <c r="K202" i="1"/>
  <c r="J202" i="1"/>
  <c r="L202" i="1" s="1"/>
  <c r="N201" i="1"/>
  <c r="O201" i="1" s="1"/>
  <c r="K201" i="1"/>
  <c r="J201" i="1"/>
  <c r="N200" i="1"/>
  <c r="O200" i="1" s="1"/>
  <c r="K200" i="1"/>
  <c r="J200" i="1"/>
  <c r="L200" i="1" s="1"/>
  <c r="N199" i="1"/>
  <c r="O199" i="1" s="1"/>
  <c r="K199" i="1"/>
  <c r="J199" i="1"/>
  <c r="N198" i="1"/>
  <c r="O198" i="1" s="1"/>
  <c r="K198" i="1"/>
  <c r="J198" i="1"/>
  <c r="N197" i="1"/>
  <c r="O197" i="1" s="1"/>
  <c r="K197" i="1"/>
  <c r="J197" i="1"/>
  <c r="L197" i="1" s="1"/>
  <c r="N196" i="1"/>
  <c r="O196" i="1" s="1"/>
  <c r="K196" i="1"/>
  <c r="J196" i="1"/>
  <c r="N195" i="1"/>
  <c r="O195" i="1" s="1"/>
  <c r="K195" i="1"/>
  <c r="J195" i="1"/>
  <c r="N194" i="1"/>
  <c r="O194" i="1" s="1"/>
  <c r="K194" i="1"/>
  <c r="J194" i="1"/>
  <c r="L194" i="1" s="1"/>
  <c r="N193" i="1"/>
  <c r="O193" i="1" s="1"/>
  <c r="K193" i="1"/>
  <c r="J193" i="1"/>
  <c r="L193" i="1" s="1"/>
  <c r="N192" i="1"/>
  <c r="O192" i="1" s="1"/>
  <c r="K192" i="1"/>
  <c r="J192" i="1"/>
  <c r="N191" i="1"/>
  <c r="O191" i="1" s="1"/>
  <c r="K191" i="1"/>
  <c r="J191" i="1"/>
  <c r="N190" i="1"/>
  <c r="O190" i="1" s="1"/>
  <c r="K190" i="1"/>
  <c r="J190" i="1"/>
  <c r="N189" i="1"/>
  <c r="O189" i="1" s="1"/>
  <c r="K189" i="1"/>
  <c r="J189" i="1"/>
  <c r="L189" i="1" s="1"/>
  <c r="N188" i="1"/>
  <c r="O188" i="1" s="1"/>
  <c r="K188" i="1"/>
  <c r="J188" i="1"/>
  <c r="N187" i="1"/>
  <c r="O187" i="1" s="1"/>
  <c r="K187" i="1"/>
  <c r="J187" i="1"/>
  <c r="N186" i="1"/>
  <c r="O186" i="1" s="1"/>
  <c r="K186" i="1"/>
  <c r="J186" i="1"/>
  <c r="N185" i="1"/>
  <c r="O185" i="1" s="1"/>
  <c r="K185" i="1"/>
  <c r="J185" i="1"/>
  <c r="L185" i="1" s="1"/>
  <c r="N184" i="1"/>
  <c r="O184" i="1" s="1"/>
  <c r="K184" i="1"/>
  <c r="J184" i="1"/>
  <c r="N162" i="1"/>
  <c r="O162" i="1" s="1"/>
  <c r="K162" i="1"/>
  <c r="J162" i="1"/>
  <c r="N161" i="1"/>
  <c r="O161" i="1" s="1"/>
  <c r="K161" i="1"/>
  <c r="J161" i="1"/>
  <c r="N160" i="1"/>
  <c r="O160" i="1" s="1"/>
  <c r="K160" i="1"/>
  <c r="J160" i="1"/>
  <c r="N159" i="1"/>
  <c r="O159" i="1" s="1"/>
  <c r="K159" i="1"/>
  <c r="J159" i="1"/>
  <c r="N158" i="1"/>
  <c r="O158" i="1" s="1"/>
  <c r="K158" i="1"/>
  <c r="J158" i="1"/>
  <c r="N157" i="1"/>
  <c r="O157" i="1" s="1"/>
  <c r="K157" i="1"/>
  <c r="J157" i="1"/>
  <c r="N156" i="1"/>
  <c r="O156" i="1" s="1"/>
  <c r="K156" i="1"/>
  <c r="J156" i="1"/>
  <c r="L156" i="1" s="1"/>
  <c r="N155" i="1"/>
  <c r="O155" i="1" s="1"/>
  <c r="K155" i="1"/>
  <c r="J155" i="1"/>
  <c r="N154" i="1"/>
  <c r="O154" i="1" s="1"/>
  <c r="K154" i="1"/>
  <c r="J154" i="1"/>
  <c r="N153" i="1"/>
  <c r="O153" i="1" s="1"/>
  <c r="K153" i="1"/>
  <c r="J153" i="1"/>
  <c r="N152" i="1"/>
  <c r="O152" i="1" s="1"/>
  <c r="K152" i="1"/>
  <c r="J152" i="1"/>
  <c r="N151" i="1"/>
  <c r="O151" i="1" s="1"/>
  <c r="K151" i="1"/>
  <c r="J151" i="1"/>
  <c r="N150" i="1"/>
  <c r="O150" i="1" s="1"/>
  <c r="K150" i="1"/>
  <c r="J150" i="1"/>
  <c r="N149" i="1"/>
  <c r="O149" i="1" s="1"/>
  <c r="K149" i="1"/>
  <c r="J149" i="1"/>
  <c r="N148" i="1"/>
  <c r="O148" i="1" s="1"/>
  <c r="K148" i="1"/>
  <c r="J148" i="1"/>
  <c r="N147" i="1"/>
  <c r="O147" i="1" s="1"/>
  <c r="K147" i="1"/>
  <c r="J147" i="1"/>
  <c r="N146" i="1"/>
  <c r="O146" i="1" s="1"/>
  <c r="K146" i="1"/>
  <c r="J146" i="1"/>
  <c r="N145" i="1"/>
  <c r="O145" i="1" s="1"/>
  <c r="K145" i="1"/>
  <c r="J145" i="1"/>
  <c r="L145" i="1" s="1"/>
  <c r="N144" i="1"/>
  <c r="O144" i="1" s="1"/>
  <c r="K144" i="1"/>
  <c r="J144" i="1"/>
  <c r="L144" i="1" s="1"/>
  <c r="N143" i="1"/>
  <c r="O143" i="1" s="1"/>
  <c r="K143" i="1"/>
  <c r="J143" i="1"/>
  <c r="N142" i="1"/>
  <c r="O142" i="1" s="1"/>
  <c r="K142" i="1"/>
  <c r="J142" i="1"/>
  <c r="N183" i="1"/>
  <c r="O183" i="1" s="1"/>
  <c r="K183" i="1"/>
  <c r="J183" i="1"/>
  <c r="L183" i="1" s="1"/>
  <c r="N182" i="1"/>
  <c r="O182" i="1" s="1"/>
  <c r="K182" i="1"/>
  <c r="J182" i="1"/>
  <c r="N181" i="1"/>
  <c r="O181" i="1" s="1"/>
  <c r="K181" i="1"/>
  <c r="J181" i="1"/>
  <c r="N180" i="1"/>
  <c r="O180" i="1" s="1"/>
  <c r="K180" i="1"/>
  <c r="J180" i="1"/>
  <c r="N179" i="1"/>
  <c r="O179" i="1" s="1"/>
  <c r="K179" i="1"/>
  <c r="J179" i="1"/>
  <c r="N178" i="1"/>
  <c r="O178" i="1" s="1"/>
  <c r="K178" i="1"/>
  <c r="J178" i="1"/>
  <c r="N177" i="1"/>
  <c r="O177" i="1" s="1"/>
  <c r="K177" i="1"/>
  <c r="J177" i="1"/>
  <c r="N176" i="1"/>
  <c r="O176" i="1" s="1"/>
  <c r="K176" i="1"/>
  <c r="J176" i="1"/>
  <c r="N175" i="1"/>
  <c r="O175" i="1" s="1"/>
  <c r="K175" i="1"/>
  <c r="J175" i="1"/>
  <c r="N174" i="1"/>
  <c r="O174" i="1" s="1"/>
  <c r="K174" i="1"/>
  <c r="J174" i="1"/>
  <c r="N173" i="1"/>
  <c r="O173" i="1" s="1"/>
  <c r="K173" i="1"/>
  <c r="J173" i="1"/>
  <c r="N172" i="1"/>
  <c r="O172" i="1" s="1"/>
  <c r="K172" i="1"/>
  <c r="J172" i="1"/>
  <c r="N171" i="1"/>
  <c r="O171" i="1" s="1"/>
  <c r="K171" i="1"/>
  <c r="J171" i="1"/>
  <c r="N170" i="1"/>
  <c r="O170" i="1" s="1"/>
  <c r="K170" i="1"/>
  <c r="J170" i="1"/>
  <c r="N169" i="1"/>
  <c r="O169" i="1" s="1"/>
  <c r="K169" i="1"/>
  <c r="J169" i="1"/>
  <c r="L169" i="1" s="1"/>
  <c r="N168" i="1"/>
  <c r="O168" i="1" s="1"/>
  <c r="K168" i="1"/>
  <c r="J168" i="1"/>
  <c r="N167" i="1"/>
  <c r="O167" i="1" s="1"/>
  <c r="K167" i="1"/>
  <c r="J167" i="1"/>
  <c r="N166" i="1"/>
  <c r="O166" i="1" s="1"/>
  <c r="K166" i="1"/>
  <c r="J166" i="1"/>
  <c r="N165" i="1"/>
  <c r="O165" i="1" s="1"/>
  <c r="K165" i="1"/>
  <c r="J165" i="1"/>
  <c r="L165" i="1" s="1"/>
  <c r="N164" i="1"/>
  <c r="O164" i="1" s="1"/>
  <c r="K164" i="1"/>
  <c r="J164" i="1"/>
  <c r="N163" i="1"/>
  <c r="O163" i="1" s="1"/>
  <c r="K163" i="1"/>
  <c r="J163" i="1"/>
  <c r="N225" i="1"/>
  <c r="O225" i="1" s="1"/>
  <c r="K225" i="1"/>
  <c r="J225" i="1"/>
  <c r="N224" i="1"/>
  <c r="O224" i="1" s="1"/>
  <c r="K224" i="1"/>
  <c r="J224" i="1"/>
  <c r="N223" i="1"/>
  <c r="O223" i="1" s="1"/>
  <c r="K223" i="1"/>
  <c r="J223" i="1"/>
  <c r="N222" i="1"/>
  <c r="O222" i="1" s="1"/>
  <c r="K222" i="1"/>
  <c r="J222" i="1"/>
  <c r="N221" i="1"/>
  <c r="O221" i="1" s="1"/>
  <c r="K221" i="1"/>
  <c r="J221" i="1"/>
  <c r="L221" i="1" s="1"/>
  <c r="N220" i="1"/>
  <c r="O220" i="1" s="1"/>
  <c r="K220" i="1"/>
  <c r="J220" i="1"/>
  <c r="N219" i="1"/>
  <c r="O219" i="1" s="1"/>
  <c r="K219" i="1"/>
  <c r="J219" i="1"/>
  <c r="N218" i="1"/>
  <c r="O218" i="1" s="1"/>
  <c r="K218" i="1"/>
  <c r="J218" i="1"/>
  <c r="L218" i="1" s="1"/>
  <c r="N217" i="1"/>
  <c r="O217" i="1" s="1"/>
  <c r="K217" i="1"/>
  <c r="J217" i="1"/>
  <c r="N216" i="1"/>
  <c r="O216" i="1" s="1"/>
  <c r="K216" i="1"/>
  <c r="J216" i="1"/>
  <c r="N215" i="1"/>
  <c r="O215" i="1" s="1"/>
  <c r="K215" i="1"/>
  <c r="J215" i="1"/>
  <c r="N214" i="1"/>
  <c r="O214" i="1" s="1"/>
  <c r="K214" i="1"/>
  <c r="J214" i="1"/>
  <c r="N213" i="1"/>
  <c r="O213" i="1" s="1"/>
  <c r="K213" i="1"/>
  <c r="J213" i="1"/>
  <c r="N212" i="1"/>
  <c r="O212" i="1" s="1"/>
  <c r="K212" i="1"/>
  <c r="J212" i="1"/>
  <c r="L212" i="1" s="1"/>
  <c r="N211" i="1"/>
  <c r="O211" i="1" s="1"/>
  <c r="K211" i="1"/>
  <c r="J211" i="1"/>
  <c r="N210" i="1"/>
  <c r="O210" i="1" s="1"/>
  <c r="K210" i="1"/>
  <c r="J210" i="1"/>
  <c r="N209" i="1"/>
  <c r="O209" i="1" s="1"/>
  <c r="K209" i="1"/>
  <c r="J209" i="1"/>
  <c r="N208" i="1"/>
  <c r="O208" i="1" s="1"/>
  <c r="K208" i="1"/>
  <c r="J208" i="1"/>
  <c r="N207" i="1"/>
  <c r="O207" i="1" s="1"/>
  <c r="K207" i="1"/>
  <c r="J207" i="1"/>
  <c r="N206" i="1"/>
  <c r="O206" i="1" s="1"/>
  <c r="K206" i="1"/>
  <c r="J206" i="1"/>
  <c r="N205" i="1"/>
  <c r="O205" i="1" s="1"/>
  <c r="K205" i="1"/>
  <c r="J205" i="1"/>
  <c r="Q65" i="7" l="1"/>
  <c r="T65" i="7" s="1"/>
  <c r="M65" i="7"/>
  <c r="S65" i="7" s="1"/>
  <c r="Q26" i="7"/>
  <c r="T26" i="7" s="1"/>
  <c r="M26" i="7"/>
  <c r="S26" i="7" s="1"/>
  <c r="M21" i="7"/>
  <c r="S21" i="7" s="1"/>
  <c r="Q21" i="7"/>
  <c r="T21" i="7" s="1"/>
  <c r="M31" i="7"/>
  <c r="S31" i="7" s="1"/>
  <c r="Q31" i="7"/>
  <c r="T31" i="7" s="1"/>
  <c r="M46" i="7"/>
  <c r="S46" i="7" s="1"/>
  <c r="Q46" i="7"/>
  <c r="T46" i="7" s="1"/>
  <c r="M57" i="7"/>
  <c r="S57" i="7" s="1"/>
  <c r="Q57" i="7"/>
  <c r="T57" i="7" s="1"/>
  <c r="Q62" i="7"/>
  <c r="T62" i="7" s="1"/>
  <c r="M62" i="7"/>
  <c r="S62" i="7" s="1"/>
  <c r="M75" i="7"/>
  <c r="S75" i="7" s="1"/>
  <c r="Q75" i="7"/>
  <c r="T75" i="7" s="1"/>
  <c r="M72" i="7"/>
  <c r="S72" i="7" s="1"/>
  <c r="Q72" i="7"/>
  <c r="T72" i="7" s="1"/>
  <c r="M54" i="7"/>
  <c r="S54" i="7" s="1"/>
  <c r="Q54" i="7"/>
  <c r="T54" i="7" s="1"/>
  <c r="M56" i="7"/>
  <c r="S56" i="7" s="1"/>
  <c r="Q56" i="7"/>
  <c r="T56" i="7" s="1"/>
  <c r="M20" i="7"/>
  <c r="S20" i="7" s="1"/>
  <c r="Q20" i="7"/>
  <c r="T20" i="7" s="1"/>
  <c r="M5" i="7"/>
  <c r="S5" i="7" s="1"/>
  <c r="Q5" i="7"/>
  <c r="T5" i="7" s="1"/>
  <c r="M66" i="7"/>
  <c r="S66" i="7" s="1"/>
  <c r="Q66" i="7"/>
  <c r="T66" i="7" s="1"/>
  <c r="M73" i="7"/>
  <c r="S73" i="7" s="1"/>
  <c r="Q73" i="7"/>
  <c r="T73" i="7" s="1"/>
  <c r="M42" i="7"/>
  <c r="S42" i="7" s="1"/>
  <c r="Q42" i="7"/>
  <c r="T42" i="7" s="1"/>
  <c r="M58" i="7"/>
  <c r="S58" i="7" s="1"/>
  <c r="Q58" i="7"/>
  <c r="T58" i="7" s="1"/>
  <c r="M22" i="7"/>
  <c r="S22" i="7" s="1"/>
  <c r="Q22" i="7"/>
  <c r="T22" i="7" s="1"/>
  <c r="M6" i="7"/>
  <c r="S6" i="7" s="1"/>
  <c r="Q6" i="7"/>
  <c r="T6" i="7" s="1"/>
  <c r="Q77" i="7"/>
  <c r="T77" i="7" s="1"/>
  <c r="M77" i="7"/>
  <c r="S77" i="7" s="1"/>
  <c r="M81" i="7"/>
  <c r="S81" i="7" s="1"/>
  <c r="Q81" i="7"/>
  <c r="T81" i="7" s="1"/>
  <c r="M51" i="7"/>
  <c r="S51" i="7" s="1"/>
  <c r="Q51" i="7"/>
  <c r="T51" i="7" s="1"/>
  <c r="M38" i="7"/>
  <c r="S38" i="7" s="1"/>
  <c r="Q38" i="7"/>
  <c r="T38" i="7" s="1"/>
  <c r="M23" i="7"/>
  <c r="S23" i="7" s="1"/>
  <c r="Q23" i="7"/>
  <c r="T23" i="7" s="1"/>
  <c r="M7" i="7"/>
  <c r="S7" i="7" s="1"/>
  <c r="Q7" i="7"/>
  <c r="T7" i="7" s="1"/>
  <c r="Q78" i="7"/>
  <c r="T78" i="7" s="1"/>
  <c r="M78" i="7"/>
  <c r="S78" i="7" s="1"/>
  <c r="Q52" i="7"/>
  <c r="T52" i="7" s="1"/>
  <c r="M52" i="7"/>
  <c r="S52" i="7" s="1"/>
  <c r="Q37" i="7"/>
  <c r="T37" i="7" s="1"/>
  <c r="M37" i="7"/>
  <c r="S37" i="7" s="1"/>
  <c r="Q24" i="7"/>
  <c r="T24" i="7" s="1"/>
  <c r="M24" i="7"/>
  <c r="S24" i="7" s="1"/>
  <c r="Q8" i="7"/>
  <c r="T8" i="7" s="1"/>
  <c r="M8" i="7"/>
  <c r="S8" i="7" s="1"/>
  <c r="Q79" i="7"/>
  <c r="T79" i="7" s="1"/>
  <c r="M79" i="7"/>
  <c r="S79" i="7" s="1"/>
  <c r="Q64" i="7"/>
  <c r="T64" i="7" s="1"/>
  <c r="M64" i="7"/>
  <c r="S64" i="7" s="1"/>
  <c r="M30" i="7"/>
  <c r="S30" i="7" s="1"/>
  <c r="Q30" i="7"/>
  <c r="T30" i="7" s="1"/>
  <c r="Q69" i="7"/>
  <c r="T69" i="7" s="1"/>
  <c r="M69" i="7"/>
  <c r="S69" i="7" s="1"/>
  <c r="Q25" i="7"/>
  <c r="T25" i="7" s="1"/>
  <c r="M25" i="7"/>
  <c r="S25" i="7" s="1"/>
  <c r="Q9" i="7"/>
  <c r="T9" i="7" s="1"/>
  <c r="M9" i="7"/>
  <c r="S9" i="7" s="1"/>
  <c r="M80" i="7"/>
  <c r="S80" i="7" s="1"/>
  <c r="Q80" i="7"/>
  <c r="T80" i="7" s="1"/>
  <c r="Q63" i="7"/>
  <c r="T63" i="7" s="1"/>
  <c r="M63" i="7"/>
  <c r="S63" i="7" s="1"/>
  <c r="Q49" i="7"/>
  <c r="T49" i="7" s="1"/>
  <c r="M49" i="7"/>
  <c r="S49" i="7" s="1"/>
  <c r="Q70" i="7"/>
  <c r="T70" i="7" s="1"/>
  <c r="M70" i="7"/>
  <c r="S70" i="7" s="1"/>
  <c r="Q74" i="7"/>
  <c r="T74" i="7" s="1"/>
  <c r="M74" i="7"/>
  <c r="S74" i="7" s="1"/>
  <c r="Q10" i="7"/>
  <c r="T10" i="7" s="1"/>
  <c r="M10" i="7"/>
  <c r="S10" i="7" s="1"/>
  <c r="Q3" i="7"/>
  <c r="T3" i="7" s="1"/>
  <c r="M3" i="7"/>
  <c r="S3" i="7" s="1"/>
  <c r="M18" i="7"/>
  <c r="S18" i="7" s="1"/>
  <c r="Q18" i="7"/>
  <c r="T18" i="7" s="1"/>
  <c r="Q48" i="7"/>
  <c r="T48" i="7" s="1"/>
  <c r="M48" i="7"/>
  <c r="S48" i="7" s="1"/>
  <c r="Q34" i="7"/>
  <c r="T34" i="7" s="1"/>
  <c r="M34" i="7"/>
  <c r="S34" i="7" s="1"/>
  <c r="Q11" i="7"/>
  <c r="T11" i="7" s="1"/>
  <c r="M11" i="7"/>
  <c r="S11" i="7" s="1"/>
  <c r="Q4" i="7"/>
  <c r="T4" i="7" s="1"/>
  <c r="M4" i="7"/>
  <c r="S4" i="7" s="1"/>
  <c r="M29" i="7"/>
  <c r="S29" i="7" s="1"/>
  <c r="Q29" i="7"/>
  <c r="T29" i="7" s="1"/>
  <c r="Q47" i="7"/>
  <c r="T47" i="7" s="1"/>
  <c r="M47" i="7"/>
  <c r="S47" i="7" s="1"/>
  <c r="M55" i="7"/>
  <c r="S55" i="7" s="1"/>
  <c r="Q55" i="7"/>
  <c r="T55" i="7" s="1"/>
  <c r="Q27" i="7"/>
  <c r="T27" i="7" s="1"/>
  <c r="M27" i="7"/>
  <c r="S27" i="7" s="1"/>
  <c r="Q12" i="7"/>
  <c r="T12" i="7" s="1"/>
  <c r="M12" i="7"/>
  <c r="S12" i="7" s="1"/>
  <c r="M67" i="7"/>
  <c r="S67" i="7" s="1"/>
  <c r="Q67" i="7"/>
  <c r="T67" i="7" s="1"/>
  <c r="M32" i="7"/>
  <c r="S32" i="7" s="1"/>
  <c r="Q32" i="7"/>
  <c r="T32" i="7" s="1"/>
  <c r="M45" i="7"/>
  <c r="S45" i="7" s="1"/>
  <c r="Q45" i="7"/>
  <c r="T45" i="7" s="1"/>
  <c r="M59" i="7"/>
  <c r="S59" i="7" s="1"/>
  <c r="Q59" i="7"/>
  <c r="T59" i="7" s="1"/>
  <c r="M17" i="7"/>
  <c r="S17" i="7" s="1"/>
  <c r="Q17" i="7"/>
  <c r="T17" i="7" s="1"/>
  <c r="M76" i="7"/>
  <c r="S76" i="7" s="1"/>
  <c r="Q76" i="7"/>
  <c r="T76" i="7" s="1"/>
  <c r="M68" i="7"/>
  <c r="S68" i="7" s="1"/>
  <c r="Q68" i="7"/>
  <c r="T68" i="7" s="1"/>
  <c r="M39" i="7"/>
  <c r="S39" i="7" s="1"/>
  <c r="Q39" i="7"/>
  <c r="T39" i="7" s="1"/>
  <c r="M44" i="7"/>
  <c r="S44" i="7" s="1"/>
  <c r="Q44" i="7"/>
  <c r="T44" i="7" s="1"/>
  <c r="M60" i="7"/>
  <c r="S60" i="7" s="1"/>
  <c r="Q60" i="7"/>
  <c r="T60" i="7" s="1"/>
  <c r="M16" i="7"/>
  <c r="S16" i="7" s="1"/>
  <c r="Q16" i="7"/>
  <c r="T16" i="7" s="1"/>
  <c r="M28" i="7"/>
  <c r="S28" i="7" s="1"/>
  <c r="Q28" i="7"/>
  <c r="T28" i="7" s="1"/>
  <c r="Q33" i="7"/>
  <c r="T33" i="7" s="1"/>
  <c r="M33" i="7"/>
  <c r="S33" i="7" s="1"/>
  <c r="M43" i="7"/>
  <c r="S43" i="7" s="1"/>
  <c r="Q43" i="7"/>
  <c r="T43" i="7" s="1"/>
  <c r="Q61" i="7"/>
  <c r="T61" i="7" s="1"/>
  <c r="M61" i="7"/>
  <c r="S61" i="7" s="1"/>
  <c r="M15" i="7"/>
  <c r="S15" i="7" s="1"/>
  <c r="Q15" i="7"/>
  <c r="T15" i="7" s="1"/>
  <c r="M35" i="7"/>
  <c r="S35" i="7" s="1"/>
  <c r="Q35" i="7"/>
  <c r="T35" i="7" s="1"/>
  <c r="M40" i="7"/>
  <c r="S40" i="7" s="1"/>
  <c r="Q40" i="7"/>
  <c r="T40" i="7" s="1"/>
  <c r="M53" i="7"/>
  <c r="S53" i="7" s="1"/>
  <c r="Q53" i="7"/>
  <c r="T53" i="7" s="1"/>
  <c r="M71" i="7"/>
  <c r="S71" i="7" s="1"/>
  <c r="Q71" i="7"/>
  <c r="T71" i="7" s="1"/>
  <c r="M14" i="7"/>
  <c r="S14" i="7" s="1"/>
  <c r="Q14" i="7"/>
  <c r="T14" i="7" s="1"/>
  <c r="M36" i="7"/>
  <c r="S36" i="7" s="1"/>
  <c r="Q36" i="7"/>
  <c r="T36" i="7" s="1"/>
  <c r="Q50" i="7"/>
  <c r="T50" i="7" s="1"/>
  <c r="M50" i="7"/>
  <c r="S50" i="7" s="1"/>
  <c r="M41" i="7"/>
  <c r="S41" i="7" s="1"/>
  <c r="Q41" i="7"/>
  <c r="T41" i="7" s="1"/>
  <c r="M19" i="7"/>
  <c r="S19" i="7" s="1"/>
  <c r="Q19" i="7"/>
  <c r="T19" i="7" s="1"/>
  <c r="M13" i="7"/>
  <c r="S13" i="7" s="1"/>
  <c r="Q13" i="7"/>
  <c r="T13" i="7" s="1"/>
  <c r="M2" i="7"/>
  <c r="S2" i="7" s="1"/>
  <c r="Q2" i="7"/>
  <c r="T2" i="7" s="1"/>
  <c r="L209" i="1"/>
  <c r="L174" i="1"/>
  <c r="L146" i="1"/>
  <c r="R146" i="1" s="1"/>
  <c r="L111" i="1"/>
  <c r="R111" i="1" s="1"/>
  <c r="L75" i="1"/>
  <c r="L17" i="1"/>
  <c r="L428" i="1"/>
  <c r="L388" i="1"/>
  <c r="R388" i="1" s="1"/>
  <c r="L373" i="1"/>
  <c r="L408" i="1"/>
  <c r="R408" i="1" s="1"/>
  <c r="L321" i="1"/>
  <c r="L230" i="1"/>
  <c r="L244" i="1"/>
  <c r="R244" i="1" s="1"/>
  <c r="L210" i="1"/>
  <c r="L215" i="1"/>
  <c r="S277" i="3"/>
  <c r="S311" i="3"/>
  <c r="W311" i="3" s="1"/>
  <c r="S287" i="3"/>
  <c r="M404" i="3"/>
  <c r="M393" i="3"/>
  <c r="S359" i="3"/>
  <c r="S295" i="3"/>
  <c r="M257" i="3"/>
  <c r="M425" i="3"/>
  <c r="M274" i="3"/>
  <c r="M256" i="3"/>
  <c r="M264" i="3"/>
  <c r="S299" i="3"/>
  <c r="S320" i="3"/>
  <c r="S314" i="3"/>
  <c r="S318" i="3"/>
  <c r="S316" i="3"/>
  <c r="S298" i="3"/>
  <c r="W298" i="3" s="1"/>
  <c r="M178" i="3"/>
  <c r="M217" i="3"/>
  <c r="M409" i="3"/>
  <c r="S284" i="3"/>
  <c r="S354" i="3"/>
  <c r="S319" i="3"/>
  <c r="S270" i="3"/>
  <c r="M3" i="3"/>
  <c r="M15" i="3"/>
  <c r="M103" i="3"/>
  <c r="M411" i="3"/>
  <c r="M403" i="3"/>
  <c r="S275" i="3"/>
  <c r="S306" i="3"/>
  <c r="S307" i="3"/>
  <c r="S362" i="3"/>
  <c r="S302" i="3"/>
  <c r="S300" i="3"/>
  <c r="S301" i="3"/>
  <c r="S276" i="3"/>
  <c r="S291" i="3"/>
  <c r="M232" i="3"/>
  <c r="S282" i="3"/>
  <c r="S288" i="3"/>
  <c r="S273" i="3"/>
  <c r="S313" i="3"/>
  <c r="W313" i="3" s="1"/>
  <c r="S283" i="3"/>
  <c r="S364" i="3"/>
  <c r="S280" i="3"/>
  <c r="S281" i="3"/>
  <c r="S304" i="3"/>
  <c r="S290" i="3"/>
  <c r="S271" i="3"/>
  <c r="S278" i="3"/>
  <c r="S292" i="3"/>
  <c r="S285" i="3"/>
  <c r="S272" i="3"/>
  <c r="S289" i="3"/>
  <c r="S315" i="3"/>
  <c r="S303" i="3"/>
  <c r="S279" i="3"/>
  <c r="S305" i="3"/>
  <c r="S309" i="3"/>
  <c r="S296" i="3"/>
  <c r="W296" i="3" s="1"/>
  <c r="S294" i="3"/>
  <c r="S310" i="3"/>
  <c r="S321" i="3"/>
  <c r="S322" i="3"/>
  <c r="S323" i="3"/>
  <c r="M31" i="3"/>
  <c r="M384" i="3"/>
  <c r="M371" i="3"/>
  <c r="M365" i="3"/>
  <c r="S360" i="3"/>
  <c r="S361" i="3"/>
  <c r="S363" i="3"/>
  <c r="S293" i="3"/>
  <c r="S357" i="3"/>
  <c r="S344" i="3"/>
  <c r="S345" i="3"/>
  <c r="S346" i="3"/>
  <c r="S347" i="3"/>
  <c r="S348" i="3"/>
  <c r="S339" i="3"/>
  <c r="S353" i="3"/>
  <c r="S340" i="3"/>
  <c r="S341" i="3"/>
  <c r="S342" i="3"/>
  <c r="S343" i="3"/>
  <c r="S334" i="3"/>
  <c r="S274" i="3"/>
  <c r="S308" i="3"/>
  <c r="S349" i="3"/>
  <c r="S351" i="3"/>
  <c r="S335" i="3"/>
  <c r="S336" i="3"/>
  <c r="S337" i="3"/>
  <c r="S338" i="3"/>
  <c r="S329" i="3"/>
  <c r="S317" i="3"/>
  <c r="S297" i="3"/>
  <c r="S355" i="3"/>
  <c r="S358" i="3"/>
  <c r="S352" i="3"/>
  <c r="S330" i="3"/>
  <c r="S331" i="3"/>
  <c r="S332" i="3"/>
  <c r="S333" i="3"/>
  <c r="S369" i="3"/>
  <c r="W369" i="3" s="1"/>
  <c r="S325" i="3"/>
  <c r="S326" i="3"/>
  <c r="S327" i="3"/>
  <c r="S328" i="3"/>
  <c r="S312" i="3"/>
  <c r="S286" i="3"/>
  <c r="W286" i="3" s="1"/>
  <c r="S356" i="3"/>
  <c r="S350" i="3"/>
  <c r="S365" i="3"/>
  <c r="W365" i="3" s="1"/>
  <c r="S366" i="3"/>
  <c r="W366" i="3" s="1"/>
  <c r="S367" i="3"/>
  <c r="W367" i="3" s="1"/>
  <c r="S368" i="3"/>
  <c r="W368" i="3" s="1"/>
  <c r="S324" i="3"/>
  <c r="M36" i="3"/>
  <c r="M315" i="3"/>
  <c r="M188" i="3"/>
  <c r="M64" i="3"/>
  <c r="M53" i="3"/>
  <c r="M205" i="3"/>
  <c r="M199" i="3"/>
  <c r="M131" i="3"/>
  <c r="M367" i="3"/>
  <c r="M406" i="3"/>
  <c r="M97" i="3"/>
  <c r="M179" i="3"/>
  <c r="M92" i="3"/>
  <c r="M389" i="3"/>
  <c r="M386" i="3"/>
  <c r="M237" i="3"/>
  <c r="M303" i="3"/>
  <c r="M165" i="3"/>
  <c r="M111" i="3"/>
  <c r="M346" i="3"/>
  <c r="M62" i="3"/>
  <c r="M170" i="3"/>
  <c r="M159" i="3"/>
  <c r="M156" i="3"/>
  <c r="M275" i="3"/>
  <c r="M220" i="3"/>
  <c r="M341" i="3"/>
  <c r="M350" i="3"/>
  <c r="M67" i="3"/>
  <c r="M221" i="3"/>
  <c r="M343" i="3"/>
  <c r="M118" i="3"/>
  <c r="M392" i="3"/>
  <c r="M351" i="3"/>
  <c r="M360" i="3"/>
  <c r="M372" i="3"/>
  <c r="M369" i="3"/>
  <c r="M72" i="3"/>
  <c r="M171" i="3"/>
  <c r="M331" i="3"/>
  <c r="M99" i="3"/>
  <c r="M61" i="3"/>
  <c r="M75" i="3"/>
  <c r="M104" i="3"/>
  <c r="M58" i="3"/>
  <c r="M52" i="3"/>
  <c r="M211" i="3"/>
  <c r="M297" i="3"/>
  <c r="M317" i="3"/>
  <c r="M344" i="3"/>
  <c r="M6" i="3"/>
  <c r="M286" i="3"/>
  <c r="M281" i="3"/>
  <c r="M240" i="3"/>
  <c r="M422" i="3"/>
  <c r="M410" i="3"/>
  <c r="M328" i="3"/>
  <c r="M330" i="3"/>
  <c r="M51" i="3"/>
  <c r="M366" i="3"/>
  <c r="M183" i="3"/>
  <c r="M236" i="3"/>
  <c r="M285" i="3"/>
  <c r="M302" i="3"/>
  <c r="M95" i="3"/>
  <c r="M224" i="3"/>
  <c r="M324" i="3"/>
  <c r="M94" i="3"/>
  <c r="M204" i="3"/>
  <c r="M327" i="3"/>
  <c r="M147" i="3"/>
  <c r="M70" i="3"/>
  <c r="M349" i="3"/>
  <c r="M357" i="3"/>
  <c r="M112" i="3"/>
  <c r="M115" i="3"/>
  <c r="M418" i="3"/>
  <c r="M142" i="3"/>
  <c r="M68" i="3"/>
  <c r="M135" i="3"/>
  <c r="M148" i="3"/>
  <c r="M233" i="3"/>
  <c r="M40" i="3"/>
  <c r="M122" i="3"/>
  <c r="M138" i="3"/>
  <c r="M223" i="3"/>
  <c r="M355" i="3"/>
  <c r="M11" i="3"/>
  <c r="M47" i="3"/>
  <c r="M209" i="3"/>
  <c r="M258" i="3"/>
  <c r="M336" i="3"/>
  <c r="M416" i="3"/>
  <c r="M313" i="3"/>
  <c r="M412" i="3"/>
  <c r="M400" i="3"/>
  <c r="M424" i="3"/>
  <c r="M9" i="3"/>
  <c r="M93" i="3"/>
  <c r="M279" i="3"/>
  <c r="M227" i="3"/>
  <c r="M382" i="3"/>
  <c r="M394" i="3"/>
  <c r="M391" i="3"/>
  <c r="M338" i="3"/>
  <c r="M79" i="3"/>
  <c r="M8" i="3"/>
  <c r="M215" i="3"/>
  <c r="M387" i="3"/>
  <c r="M396" i="3"/>
  <c r="M251" i="3"/>
  <c r="M294" i="3"/>
  <c r="M127" i="3"/>
  <c r="M172" i="3"/>
  <c r="M195" i="3"/>
  <c r="M189" i="3"/>
  <c r="M305" i="3"/>
  <c r="M254" i="3"/>
  <c r="M213" i="3"/>
  <c r="M329" i="3"/>
  <c r="M414" i="3"/>
  <c r="M370" i="3"/>
  <c r="M33" i="3"/>
  <c r="M45" i="3"/>
  <c r="M353" i="3"/>
  <c r="M16" i="3"/>
  <c r="M65" i="3"/>
  <c r="M48" i="3"/>
  <c r="M73" i="3"/>
  <c r="M139" i="3"/>
  <c r="M109" i="3"/>
  <c r="M186" i="3"/>
  <c r="M208" i="3"/>
  <c r="M123" i="3"/>
  <c r="M238" i="3"/>
  <c r="M177" i="3"/>
  <c r="M200" i="3"/>
  <c r="M395" i="3"/>
  <c r="M348" i="3"/>
  <c r="M368" i="3"/>
  <c r="M152" i="3"/>
  <c r="M14" i="3"/>
  <c r="M91" i="3"/>
  <c r="M32" i="3"/>
  <c r="M117" i="3"/>
  <c r="M136" i="3"/>
  <c r="M234" i="3"/>
  <c r="M307" i="3"/>
  <c r="M408" i="3"/>
  <c r="M212" i="3"/>
  <c r="M44" i="3"/>
  <c r="M180" i="3"/>
  <c r="M174" i="3"/>
  <c r="M124" i="3"/>
  <c r="M295" i="3"/>
  <c r="M218" i="3"/>
  <c r="M242" i="3"/>
  <c r="M311" i="3"/>
  <c r="M308" i="3"/>
  <c r="M326" i="3"/>
  <c r="M130" i="3"/>
  <c r="M27" i="3"/>
  <c r="M39" i="3"/>
  <c r="M66" i="3"/>
  <c r="M260" i="3"/>
  <c r="M340" i="3"/>
  <c r="M102" i="3"/>
  <c r="M4" i="3"/>
  <c r="M101" i="3"/>
  <c r="M22" i="3"/>
  <c r="M197" i="3"/>
  <c r="M157" i="3"/>
  <c r="M126" i="3"/>
  <c r="M163" i="3"/>
  <c r="M284" i="3"/>
  <c r="M300" i="3"/>
  <c r="M415" i="3"/>
  <c r="M90" i="3"/>
  <c r="M167" i="3"/>
  <c r="M397" i="3"/>
  <c r="M388" i="3"/>
  <c r="M335" i="3"/>
  <c r="M21" i="3"/>
  <c r="M60" i="3"/>
  <c r="M106" i="3"/>
  <c r="M17" i="3"/>
  <c r="M202" i="3"/>
  <c r="M140" i="3"/>
  <c r="M184" i="3"/>
  <c r="M114" i="3"/>
  <c r="M121" i="3"/>
  <c r="M128" i="3"/>
  <c r="M272" i="3"/>
  <c r="M246" i="3"/>
  <c r="M364" i="3"/>
  <c r="M376" i="3"/>
  <c r="M358" i="3"/>
  <c r="M77" i="3"/>
  <c r="M239" i="3"/>
  <c r="M107" i="3"/>
  <c r="M55" i="3"/>
  <c r="M80" i="3"/>
  <c r="M194" i="3"/>
  <c r="M154" i="3"/>
  <c r="M146" i="3"/>
  <c r="M173" i="3"/>
  <c r="M203" i="3"/>
  <c r="M158" i="3"/>
  <c r="M82" i="3"/>
  <c r="M19" i="3"/>
  <c r="M28" i="3"/>
  <c r="M81" i="3"/>
  <c r="M125" i="3"/>
  <c r="M191" i="3"/>
  <c r="M245" i="3"/>
  <c r="M225" i="3"/>
  <c r="M259" i="3"/>
  <c r="M356" i="3"/>
  <c r="M325" i="3"/>
  <c r="M56" i="3"/>
  <c r="M216" i="3"/>
  <c r="M85" i="3"/>
  <c r="M23" i="3"/>
  <c r="M86" i="3"/>
  <c r="M120" i="3"/>
  <c r="M129" i="3"/>
  <c r="M196" i="3"/>
  <c r="M320" i="3"/>
  <c r="M87" i="3"/>
  <c r="M69" i="3"/>
  <c r="M57" i="3"/>
  <c r="M35" i="3"/>
  <c r="M78" i="3"/>
  <c r="M42" i="3"/>
  <c r="M12" i="3"/>
  <c r="M150" i="3"/>
  <c r="M248" i="3"/>
  <c r="M280" i="3"/>
  <c r="M219" i="3"/>
  <c r="M314" i="3"/>
  <c r="M417" i="3"/>
  <c r="M374" i="3"/>
  <c r="M345" i="3"/>
  <c r="M278" i="3"/>
  <c r="M41" i="3"/>
  <c r="M30" i="3"/>
  <c r="M50" i="3"/>
  <c r="M83" i="3"/>
  <c r="M190" i="3"/>
  <c r="M145" i="3"/>
  <c r="M262" i="3"/>
  <c r="M255" i="3"/>
  <c r="M252" i="3"/>
  <c r="M270" i="3"/>
  <c r="M318" i="3"/>
  <c r="M377" i="3"/>
  <c r="M26" i="3"/>
  <c r="M34" i="3"/>
  <c r="M13" i="3"/>
  <c r="M96" i="3"/>
  <c r="M132" i="3"/>
  <c r="M110" i="3"/>
  <c r="M119" i="3"/>
  <c r="M206" i="3"/>
  <c r="M161" i="3"/>
  <c r="M113" i="3"/>
  <c r="M235" i="3"/>
  <c r="M309" i="3"/>
  <c r="M322" i="3"/>
  <c r="M419" i="3"/>
  <c r="M401" i="3"/>
  <c r="M426" i="3"/>
  <c r="M398" i="3"/>
  <c r="M43" i="3"/>
  <c r="M25" i="3"/>
  <c r="M2" i="3"/>
  <c r="M149" i="3"/>
  <c r="M228" i="3"/>
  <c r="M271" i="3"/>
  <c r="M182" i="3"/>
  <c r="M289" i="3"/>
  <c r="M334" i="3"/>
  <c r="M71" i="3"/>
  <c r="M155" i="3"/>
  <c r="M378" i="3"/>
  <c r="M100" i="3"/>
  <c r="M38" i="3"/>
  <c r="M181" i="3"/>
  <c r="M249" i="3"/>
  <c r="M243" i="3"/>
  <c r="M214" i="3"/>
  <c r="M222" i="3"/>
  <c r="M402" i="3"/>
  <c r="M399" i="3"/>
  <c r="M375" i="3"/>
  <c r="M160" i="3"/>
  <c r="M231" i="3"/>
  <c r="M283" i="3"/>
  <c r="M296" i="3"/>
  <c r="M298" i="3"/>
  <c r="M24" i="3"/>
  <c r="M98" i="3"/>
  <c r="M187" i="3"/>
  <c r="M151" i="3"/>
  <c r="M198" i="3"/>
  <c r="M287" i="3"/>
  <c r="M276" i="3"/>
  <c r="M306" i="3"/>
  <c r="M359" i="3"/>
  <c r="M390" i="3"/>
  <c r="M342" i="3"/>
  <c r="M373" i="3"/>
  <c r="M361" i="3"/>
  <c r="M333" i="3"/>
  <c r="M383" i="3"/>
  <c r="M18" i="3"/>
  <c r="M292" i="3"/>
  <c r="M269" i="3"/>
  <c r="M282" i="3"/>
  <c r="M321" i="3"/>
  <c r="M323" i="3"/>
  <c r="M10" i="3"/>
  <c r="M192" i="3"/>
  <c r="M193" i="3"/>
  <c r="M108" i="3"/>
  <c r="M266" i="3"/>
  <c r="M385" i="3"/>
  <c r="M5" i="3"/>
  <c r="M273" i="3"/>
  <c r="M301" i="3"/>
  <c r="M268" i="3"/>
  <c r="M116" i="3"/>
  <c r="M354" i="3"/>
  <c r="M46" i="3"/>
  <c r="M141" i="3"/>
  <c r="M229" i="3"/>
  <c r="M290" i="3"/>
  <c r="M363" i="3"/>
  <c r="M168" i="3"/>
  <c r="M84" i="3"/>
  <c r="M59" i="3"/>
  <c r="M89" i="3"/>
  <c r="M88" i="3"/>
  <c r="M207" i="3"/>
  <c r="M162" i="3"/>
  <c r="M261" i="3"/>
  <c r="M164" i="3"/>
  <c r="M105" i="3"/>
  <c r="M7" i="3"/>
  <c r="M250" i="3"/>
  <c r="M337" i="3"/>
  <c r="M76" i="3"/>
  <c r="M247" i="3"/>
  <c r="M230" i="3"/>
  <c r="M293" i="3"/>
  <c r="M423" i="3"/>
  <c r="M201" i="3"/>
  <c r="M244" i="3"/>
  <c r="M316" i="3"/>
  <c r="M362" i="3"/>
  <c r="M299" i="3"/>
  <c r="M332" i="3"/>
  <c r="M185" i="3"/>
  <c r="M134" i="3"/>
  <c r="M63" i="3"/>
  <c r="M210" i="3"/>
  <c r="M319" i="3"/>
  <c r="M405" i="3"/>
  <c r="M288" i="3"/>
  <c r="M176" i="3"/>
  <c r="M143" i="3"/>
  <c r="M304" i="3"/>
  <c r="M267" i="3"/>
  <c r="M29" i="3"/>
  <c r="M241" i="3"/>
  <c r="M420" i="3"/>
  <c r="M37" i="3"/>
  <c r="M380" i="3"/>
  <c r="M352" i="3"/>
  <c r="M153" i="3"/>
  <c r="M421" i="3"/>
  <c r="M427" i="3"/>
  <c r="M347" i="3"/>
  <c r="M144" i="3"/>
  <c r="M381" i="3"/>
  <c r="M175" i="3"/>
  <c r="M407" i="3"/>
  <c r="M413" i="3"/>
  <c r="M74" i="3"/>
  <c r="M20" i="3"/>
  <c r="M291" i="3"/>
  <c r="M253" i="3"/>
  <c r="M339" i="3"/>
  <c r="M166" i="3"/>
  <c r="M277" i="3"/>
  <c r="M137" i="3"/>
  <c r="M133" i="3"/>
  <c r="M226" i="3"/>
  <c r="M263" i="3"/>
  <c r="M169" i="3"/>
  <c r="M312" i="3"/>
  <c r="M310" i="3"/>
  <c r="L39" i="1"/>
  <c r="R39" i="1" s="1"/>
  <c r="L24" i="1"/>
  <c r="R24" i="1" s="1"/>
  <c r="L397" i="1"/>
  <c r="R397" i="1" s="1"/>
  <c r="L415" i="1"/>
  <c r="L326" i="1"/>
  <c r="R326" i="1" s="1"/>
  <c r="L282" i="1"/>
  <c r="R282" i="1" s="1"/>
  <c r="L229" i="1"/>
  <c r="R229" i="1" s="1"/>
  <c r="L160" i="1"/>
  <c r="R160" i="1" s="1"/>
  <c r="L386" i="1"/>
  <c r="R386" i="1" s="1"/>
  <c r="L404" i="1"/>
  <c r="R404" i="1" s="1"/>
  <c r="L338" i="1"/>
  <c r="L315" i="1"/>
  <c r="L304" i="1"/>
  <c r="L238" i="1"/>
  <c r="R238" i="1" s="1"/>
  <c r="L42" i="1"/>
  <c r="R42" i="1" s="1"/>
  <c r="L398" i="1"/>
  <c r="R398" i="1" s="1"/>
  <c r="L72" i="1"/>
  <c r="L224" i="1"/>
  <c r="L105" i="1"/>
  <c r="R105" i="1" s="1"/>
  <c r="L86" i="1"/>
  <c r="R86" i="1" s="1"/>
  <c r="L223" i="1"/>
  <c r="L180" i="1"/>
  <c r="R180" i="1" s="1"/>
  <c r="L46" i="1"/>
  <c r="R46" i="1" s="1"/>
  <c r="L82" i="1"/>
  <c r="R82" i="1" s="1"/>
  <c r="L31" i="1"/>
  <c r="L384" i="1"/>
  <c r="R384" i="1" s="1"/>
  <c r="L402" i="1"/>
  <c r="R402" i="1" s="1"/>
  <c r="L267" i="1"/>
  <c r="L205" i="1"/>
  <c r="R205" i="1" s="1"/>
  <c r="L137" i="1"/>
  <c r="R137" i="1" s="1"/>
  <c r="L71" i="1"/>
  <c r="R71" i="1" s="1"/>
  <c r="L48" i="1"/>
  <c r="R48" i="1" s="1"/>
  <c r="L311" i="1"/>
  <c r="R311" i="1" s="1"/>
  <c r="L219" i="1"/>
  <c r="R219" i="1" s="1"/>
  <c r="L352" i="1"/>
  <c r="R352" i="1" s="1"/>
  <c r="L285" i="1"/>
  <c r="R285" i="1" s="1"/>
  <c r="L298" i="1"/>
  <c r="R298" i="1" s="1"/>
  <c r="L232" i="1"/>
  <c r="R232" i="1" s="1"/>
  <c r="L239" i="1"/>
  <c r="R239" i="1" s="1"/>
  <c r="L59" i="1"/>
  <c r="R59" i="1" s="1"/>
  <c r="L323" i="1"/>
  <c r="L246" i="1"/>
  <c r="L30" i="1"/>
  <c r="L177" i="1"/>
  <c r="R177" i="1" s="1"/>
  <c r="L155" i="1"/>
  <c r="L66" i="1"/>
  <c r="R66" i="1" s="1"/>
  <c r="L43" i="1"/>
  <c r="R43" i="1" s="1"/>
  <c r="L264" i="1"/>
  <c r="R264" i="1" s="1"/>
  <c r="L382" i="1"/>
  <c r="R382" i="1" s="1"/>
  <c r="L207" i="1"/>
  <c r="R207" i="1" s="1"/>
  <c r="L142" i="1"/>
  <c r="R142" i="1" s="1"/>
  <c r="L139" i="1"/>
  <c r="R139" i="1" s="1"/>
  <c r="L406" i="1"/>
  <c r="R406" i="1" s="1"/>
  <c r="L340" i="1"/>
  <c r="R340" i="1" s="1"/>
  <c r="L214" i="1"/>
  <c r="R214" i="1" s="1"/>
  <c r="L171" i="1"/>
  <c r="R171" i="1" s="1"/>
  <c r="L190" i="1"/>
  <c r="R190" i="1" s="1"/>
  <c r="L104" i="1"/>
  <c r="R104" i="1" s="1"/>
  <c r="L60" i="1"/>
  <c r="R60" i="1" s="1"/>
  <c r="L37" i="1"/>
  <c r="R37" i="1" s="1"/>
  <c r="L425" i="1"/>
  <c r="R425" i="1" s="1"/>
  <c r="L372" i="1"/>
  <c r="R372" i="1" s="1"/>
  <c r="L347" i="1"/>
  <c r="R347" i="1" s="1"/>
  <c r="R246" i="1"/>
  <c r="R278" i="1"/>
  <c r="L417" i="1"/>
  <c r="R417" i="1" s="1"/>
  <c r="L168" i="1"/>
  <c r="R168" i="1" s="1"/>
  <c r="L154" i="1"/>
  <c r="R154" i="1" s="1"/>
  <c r="L184" i="1"/>
  <c r="R184" i="1" s="1"/>
  <c r="L162" i="1"/>
  <c r="R162" i="1" s="1"/>
  <c r="L131" i="1"/>
  <c r="R131" i="1" s="1"/>
  <c r="L103" i="1"/>
  <c r="R103" i="1" s="1"/>
  <c r="L117" i="1"/>
  <c r="R117" i="1" s="1"/>
  <c r="L67" i="1"/>
  <c r="R67" i="1" s="1"/>
  <c r="L38" i="1"/>
  <c r="R38" i="1" s="1"/>
  <c r="L52" i="1"/>
  <c r="R52" i="1" s="1"/>
  <c r="L84" i="1"/>
  <c r="R84" i="1" s="1"/>
  <c r="L98" i="1"/>
  <c r="R98" i="1" s="1"/>
  <c r="L23" i="1"/>
  <c r="R23" i="1" s="1"/>
  <c r="L420" i="1"/>
  <c r="R420" i="1" s="1"/>
  <c r="L434" i="1"/>
  <c r="R434" i="1" s="1"/>
  <c r="L380" i="1"/>
  <c r="R380" i="1" s="1"/>
  <c r="L414" i="1"/>
  <c r="R414" i="1" s="1"/>
  <c r="L342" i="1"/>
  <c r="R342" i="1" s="1"/>
  <c r="L313" i="1"/>
  <c r="R313" i="1" s="1"/>
  <c r="L327" i="1"/>
  <c r="R327" i="1" s="1"/>
  <c r="L263" i="1"/>
  <c r="R263" i="1" s="1"/>
  <c r="L294" i="1"/>
  <c r="R294" i="1" s="1"/>
  <c r="L173" i="1"/>
  <c r="R173" i="1" s="1"/>
  <c r="L348" i="1"/>
  <c r="R348" i="1" s="1"/>
  <c r="L319" i="1"/>
  <c r="R319" i="1" s="1"/>
  <c r="L213" i="1"/>
  <c r="R213" i="1" s="1"/>
  <c r="L178" i="1"/>
  <c r="R178" i="1" s="1"/>
  <c r="L128" i="1"/>
  <c r="R128" i="1" s="1"/>
  <c r="L114" i="1"/>
  <c r="R114" i="1" s="1"/>
  <c r="L64" i="1"/>
  <c r="R64" i="1" s="1"/>
  <c r="L49" i="1"/>
  <c r="R49" i="1" s="1"/>
  <c r="L81" i="1"/>
  <c r="R81" i="1" s="1"/>
  <c r="L95" i="1"/>
  <c r="R95" i="1" s="1"/>
  <c r="L20" i="1"/>
  <c r="R20" i="1" s="1"/>
  <c r="L34" i="1"/>
  <c r="R34" i="1" s="1"/>
  <c r="L431" i="1"/>
  <c r="R431" i="1" s="1"/>
  <c r="L391" i="1"/>
  <c r="R391" i="1" s="1"/>
  <c r="L362" i="1"/>
  <c r="R362" i="1" s="1"/>
  <c r="L376" i="1"/>
  <c r="R376" i="1" s="1"/>
  <c r="L411" i="1"/>
  <c r="R411" i="1" s="1"/>
  <c r="L339" i="1"/>
  <c r="R339" i="1" s="1"/>
  <c r="L353" i="1"/>
  <c r="R353" i="1" s="1"/>
  <c r="L324" i="1"/>
  <c r="R324" i="1" s="1"/>
  <c r="L274" i="1"/>
  <c r="R274" i="1" s="1"/>
  <c r="L288" i="1"/>
  <c r="R288" i="1" s="1"/>
  <c r="L305" i="1"/>
  <c r="R305" i="1" s="1"/>
  <c r="L233" i="1"/>
  <c r="R233" i="1" s="1"/>
  <c r="L151" i="1"/>
  <c r="R151" i="1" s="1"/>
  <c r="L211" i="1"/>
  <c r="R211" i="1" s="1"/>
  <c r="L225" i="1"/>
  <c r="R225" i="1" s="1"/>
  <c r="L176" i="1"/>
  <c r="R176" i="1" s="1"/>
  <c r="L140" i="1"/>
  <c r="R140" i="1" s="1"/>
  <c r="L112" i="1"/>
  <c r="R112" i="1" s="1"/>
  <c r="L76" i="1"/>
  <c r="R76" i="1" s="1"/>
  <c r="L79" i="1"/>
  <c r="R79" i="1" s="1"/>
  <c r="L93" i="1"/>
  <c r="R93" i="1" s="1"/>
  <c r="L18" i="1"/>
  <c r="R18" i="1" s="1"/>
  <c r="L32" i="1"/>
  <c r="R32" i="1" s="1"/>
  <c r="L429" i="1"/>
  <c r="R429" i="1" s="1"/>
  <c r="L389" i="1"/>
  <c r="R389" i="1" s="1"/>
  <c r="L360" i="1"/>
  <c r="R360" i="1" s="1"/>
  <c r="L351" i="1"/>
  <c r="R351" i="1" s="1"/>
  <c r="L322" i="1"/>
  <c r="R322" i="1" s="1"/>
  <c r="L272" i="1"/>
  <c r="R272" i="1" s="1"/>
  <c r="L286" i="1"/>
  <c r="R286" i="1" s="1"/>
  <c r="L303" i="1"/>
  <c r="R303" i="1" s="1"/>
  <c r="L231" i="1"/>
  <c r="R231" i="1" s="1"/>
  <c r="L167" i="1"/>
  <c r="R167" i="1" s="1"/>
  <c r="L152" i="1"/>
  <c r="R152" i="1" s="1"/>
  <c r="L195" i="1"/>
  <c r="R195" i="1" s="1"/>
  <c r="L204" i="1"/>
  <c r="R204" i="1" s="1"/>
  <c r="L129" i="1"/>
  <c r="R129" i="1" s="1"/>
  <c r="L110" i="1"/>
  <c r="R110" i="1" s="1"/>
  <c r="L119" i="1"/>
  <c r="R119" i="1" s="1"/>
  <c r="L94" i="1"/>
  <c r="R94" i="1" s="1"/>
  <c r="L356" i="1"/>
  <c r="R356" i="1" s="1"/>
  <c r="L365" i="1"/>
  <c r="R365" i="1" s="1"/>
  <c r="L409" i="1"/>
  <c r="R409" i="1" s="1"/>
  <c r="L270" i="1"/>
  <c r="R270" i="1" s="1"/>
  <c r="L260" i="1"/>
  <c r="R260" i="1" s="1"/>
  <c r="L227" i="1"/>
  <c r="R227" i="1" s="1"/>
  <c r="L135" i="1"/>
  <c r="R135" i="1" s="1"/>
  <c r="L102" i="1"/>
  <c r="R102" i="1" s="1"/>
  <c r="L116" i="1"/>
  <c r="R116" i="1" s="1"/>
  <c r="L61" i="1"/>
  <c r="R61" i="1" s="1"/>
  <c r="L150" i="1"/>
  <c r="R150" i="1" s="1"/>
  <c r="L217" i="1"/>
  <c r="R217" i="1" s="1"/>
  <c r="L148" i="1"/>
  <c r="R148" i="1" s="1"/>
  <c r="L191" i="1"/>
  <c r="R191" i="1" s="1"/>
  <c r="L106" i="1"/>
  <c r="R106" i="1" s="1"/>
  <c r="L65" i="1"/>
  <c r="R65" i="1" s="1"/>
  <c r="L15" i="1"/>
  <c r="R15" i="1" s="1"/>
  <c r="L29" i="1"/>
  <c r="R29" i="1" s="1"/>
  <c r="L440" i="1"/>
  <c r="R440" i="1" s="1"/>
  <c r="L395" i="1"/>
  <c r="R395" i="1" s="1"/>
  <c r="L375" i="1"/>
  <c r="R375" i="1" s="1"/>
  <c r="L317" i="1"/>
  <c r="R317" i="1" s="1"/>
  <c r="L330" i="1"/>
  <c r="R330" i="1" s="1"/>
  <c r="L280" i="1"/>
  <c r="R280" i="1" s="1"/>
  <c r="L289" i="1"/>
  <c r="R289" i="1" s="1"/>
  <c r="L300" i="1"/>
  <c r="R300" i="1" s="1"/>
  <c r="L309" i="1"/>
  <c r="R309" i="1" s="1"/>
  <c r="L236" i="1"/>
  <c r="R236" i="1" s="1"/>
  <c r="R74" i="1"/>
  <c r="R253" i="1"/>
  <c r="L336" i="1"/>
  <c r="R336" i="1" s="1"/>
  <c r="L143" i="1"/>
  <c r="R143" i="1" s="1"/>
  <c r="L118" i="1"/>
  <c r="R118" i="1" s="1"/>
  <c r="L83" i="1"/>
  <c r="R83" i="1" s="1"/>
  <c r="L387" i="1"/>
  <c r="R387" i="1" s="1"/>
  <c r="L418" i="1"/>
  <c r="R418" i="1" s="1"/>
  <c r="L206" i="1"/>
  <c r="R206" i="1" s="1"/>
  <c r="L175" i="1"/>
  <c r="R175" i="1" s="1"/>
  <c r="L159" i="1"/>
  <c r="R159" i="1" s="1"/>
  <c r="L412" i="1"/>
  <c r="R412" i="1" s="1"/>
  <c r="L271" i="1"/>
  <c r="R271" i="1" s="1"/>
  <c r="L256" i="1"/>
  <c r="R256" i="1" s="1"/>
  <c r="R341" i="1"/>
  <c r="L163" i="1"/>
  <c r="R163" i="1" s="1"/>
  <c r="L196" i="1"/>
  <c r="R196" i="1" s="1"/>
  <c r="L125" i="1"/>
  <c r="R125" i="1" s="1"/>
  <c r="L113" i="1"/>
  <c r="R113" i="1" s="1"/>
  <c r="L62" i="1"/>
  <c r="R62" i="1" s="1"/>
  <c r="L40" i="1"/>
  <c r="R40" i="1" s="1"/>
  <c r="L257" i="1"/>
  <c r="R257" i="1" s="1"/>
  <c r="L295" i="1"/>
  <c r="R295" i="1" s="1"/>
  <c r="L299" i="1"/>
  <c r="R299" i="1" s="1"/>
  <c r="L222" i="1"/>
  <c r="R222" i="1" s="1"/>
  <c r="L172" i="1"/>
  <c r="R172" i="1" s="1"/>
  <c r="L181" i="1"/>
  <c r="R181" i="1" s="1"/>
  <c r="L188" i="1"/>
  <c r="R188" i="1" s="1"/>
  <c r="L192" i="1"/>
  <c r="R192" i="1" s="1"/>
  <c r="L134" i="1"/>
  <c r="R134" i="1" s="1"/>
  <c r="L100" i="1"/>
  <c r="R100" i="1" s="1"/>
  <c r="L36" i="1"/>
  <c r="R36" i="1" s="1"/>
  <c r="L53" i="1"/>
  <c r="R53" i="1" s="1"/>
  <c r="L80" i="1"/>
  <c r="R80" i="1" s="1"/>
  <c r="L383" i="1"/>
  <c r="R383" i="1" s="1"/>
  <c r="L361" i="1"/>
  <c r="R361" i="1" s="1"/>
  <c r="L370" i="1"/>
  <c r="R370" i="1" s="1"/>
  <c r="L403" i="1"/>
  <c r="R403" i="1" s="1"/>
  <c r="L407" i="1"/>
  <c r="R407" i="1" s="1"/>
  <c r="L346" i="1"/>
  <c r="R346" i="1" s="1"/>
  <c r="L350" i="1"/>
  <c r="R350" i="1" s="1"/>
  <c r="L331" i="1"/>
  <c r="R331" i="1" s="1"/>
  <c r="L275" i="1"/>
  <c r="R275" i="1" s="1"/>
  <c r="L283" i="1"/>
  <c r="R283" i="1" s="1"/>
  <c r="L287" i="1"/>
  <c r="R287" i="1" s="1"/>
  <c r="L291" i="1"/>
  <c r="R291" i="1" s="1"/>
  <c r="L308" i="1"/>
  <c r="R308" i="1" s="1"/>
  <c r="L226" i="1"/>
  <c r="R226" i="1" s="1"/>
  <c r="L243" i="1"/>
  <c r="R243" i="1" s="1"/>
  <c r="L247" i="1"/>
  <c r="R247" i="1" s="1"/>
  <c r="L216" i="1"/>
  <c r="R216" i="1" s="1"/>
  <c r="L220" i="1"/>
  <c r="R220" i="1" s="1"/>
  <c r="L166" i="1"/>
  <c r="R166" i="1" s="1"/>
  <c r="L170" i="1"/>
  <c r="R170" i="1" s="1"/>
  <c r="L179" i="1"/>
  <c r="R179" i="1" s="1"/>
  <c r="L149" i="1"/>
  <c r="R149" i="1" s="1"/>
  <c r="L153" i="1"/>
  <c r="R153" i="1" s="1"/>
  <c r="L161" i="1"/>
  <c r="R161" i="1" s="1"/>
  <c r="L186" i="1"/>
  <c r="R186" i="1" s="1"/>
  <c r="L203" i="1"/>
  <c r="R203" i="1" s="1"/>
  <c r="L136" i="1"/>
  <c r="R136" i="1" s="1"/>
  <c r="L120" i="1"/>
  <c r="R120" i="1" s="1"/>
  <c r="L69" i="1"/>
  <c r="R69" i="1" s="1"/>
  <c r="L73" i="1"/>
  <c r="R73" i="1" s="1"/>
  <c r="L47" i="1"/>
  <c r="R47" i="1" s="1"/>
  <c r="L51" i="1"/>
  <c r="R51" i="1" s="1"/>
  <c r="L56" i="1"/>
  <c r="R56" i="1" s="1"/>
  <c r="L92" i="1"/>
  <c r="R92" i="1" s="1"/>
  <c r="L422" i="1"/>
  <c r="R422" i="1" s="1"/>
  <c r="L436" i="1"/>
  <c r="R436" i="1" s="1"/>
  <c r="L385" i="1"/>
  <c r="R385" i="1" s="1"/>
  <c r="L355" i="1"/>
  <c r="R355" i="1" s="1"/>
  <c r="L359" i="1"/>
  <c r="R359" i="1" s="1"/>
  <c r="L368" i="1"/>
  <c r="R368" i="1" s="1"/>
  <c r="L401" i="1"/>
  <c r="R401" i="1" s="1"/>
  <c r="L344" i="1"/>
  <c r="R344" i="1" s="1"/>
  <c r="L329" i="1"/>
  <c r="R329" i="1" s="1"/>
  <c r="L273" i="1"/>
  <c r="R273" i="1" s="1"/>
  <c r="L277" i="1"/>
  <c r="R277" i="1" s="1"/>
  <c r="L302" i="1"/>
  <c r="R302" i="1" s="1"/>
  <c r="L306" i="1"/>
  <c r="R306" i="1" s="1"/>
  <c r="L237" i="1"/>
  <c r="R237" i="1" s="1"/>
  <c r="L241" i="1"/>
  <c r="R241" i="1" s="1"/>
  <c r="R307" i="1"/>
  <c r="R333" i="1"/>
  <c r="R89" i="1"/>
  <c r="R419" i="1"/>
  <c r="R343" i="1"/>
  <c r="R301" i="1"/>
  <c r="R240" i="1"/>
  <c r="R16" i="1"/>
  <c r="R25" i="1"/>
  <c r="R335" i="1"/>
  <c r="R251" i="1"/>
  <c r="R183" i="1"/>
  <c r="R87" i="1"/>
  <c r="R21" i="1"/>
  <c r="R30" i="1"/>
  <c r="R123" i="1"/>
  <c r="R379" i="1"/>
  <c r="R366" i="1"/>
  <c r="R338" i="1"/>
  <c r="R266" i="1"/>
  <c r="R223" i="1"/>
  <c r="R72" i="1"/>
  <c r="R41" i="1"/>
  <c r="R50" i="1"/>
  <c r="L367" i="1"/>
  <c r="R367" i="1" s="1"/>
  <c r="R405" i="1"/>
  <c r="R325" i="1"/>
  <c r="R267" i="1"/>
  <c r="R221" i="1"/>
  <c r="R70" i="1"/>
  <c r="R127" i="1"/>
  <c r="R68" i="1"/>
  <c r="R54" i="1"/>
  <c r="L26" i="1"/>
  <c r="R26" i="1" s="1"/>
  <c r="R31" i="1"/>
  <c r="R432" i="1"/>
  <c r="R410" i="1"/>
  <c r="R248" i="1"/>
  <c r="R250" i="1"/>
  <c r="R435" i="1"/>
  <c r="R276" i="1"/>
  <c r="R121" i="1"/>
  <c r="R132" i="1"/>
  <c r="R57" i="1"/>
  <c r="L96" i="1"/>
  <c r="R96" i="1" s="1"/>
  <c r="R396" i="1"/>
  <c r="L392" i="1"/>
  <c r="R392" i="1" s="1"/>
  <c r="L109" i="1"/>
  <c r="R109" i="1" s="1"/>
  <c r="L426" i="1"/>
  <c r="R426" i="1" s="1"/>
  <c r="R439" i="1"/>
  <c r="R416" i="1"/>
  <c r="R334" i="1"/>
  <c r="R323" i="1"/>
  <c r="L279" i="1"/>
  <c r="R279" i="1" s="1"/>
  <c r="R261" i="1"/>
  <c r="R290" i="1"/>
  <c r="L164" i="1"/>
  <c r="R164" i="1" s="1"/>
  <c r="L354" i="1"/>
  <c r="R354" i="1" s="1"/>
  <c r="R174" i="1"/>
  <c r="R156" i="1"/>
  <c r="L44" i="1"/>
  <c r="R44" i="1" s="1"/>
  <c r="R97" i="1"/>
  <c r="R393" i="1"/>
  <c r="R312" i="1"/>
  <c r="R316" i="1"/>
  <c r="R320" i="1"/>
  <c r="L22" i="1"/>
  <c r="R22" i="1" s="1"/>
  <c r="L427" i="1"/>
  <c r="R427" i="1" s="1"/>
  <c r="L413" i="1"/>
  <c r="R413" i="1" s="1"/>
  <c r="L394" i="1"/>
  <c r="R394" i="1" s="1"/>
  <c r="L115" i="1"/>
  <c r="R115" i="1" s="1"/>
  <c r="R209" i="1"/>
  <c r="R107" i="1"/>
  <c r="L90" i="1"/>
  <c r="R90" i="1" s="1"/>
  <c r="L364" i="1"/>
  <c r="R364" i="1" s="1"/>
  <c r="L255" i="1"/>
  <c r="R255" i="1" s="1"/>
  <c r="R292" i="1"/>
  <c r="R296" i="1"/>
  <c r="R133" i="1"/>
  <c r="R314" i="1"/>
  <c r="L78" i="1"/>
  <c r="R78" i="1" s="1"/>
  <c r="L423" i="1"/>
  <c r="R423" i="1" s="1"/>
  <c r="L374" i="1"/>
  <c r="R374" i="1" s="1"/>
  <c r="L381" i="1"/>
  <c r="R381" i="1" s="1"/>
  <c r="R259" i="1"/>
  <c r="R304" i="1"/>
  <c r="R218" i="1"/>
  <c r="R124" i="1"/>
  <c r="L19" i="1"/>
  <c r="R19" i="1" s="1"/>
  <c r="R428" i="1"/>
  <c r="R399" i="1"/>
  <c r="L198" i="1"/>
  <c r="R198" i="1" s="1"/>
  <c r="L91" i="1"/>
  <c r="R91" i="1" s="1"/>
  <c r="L27" i="1"/>
  <c r="R27" i="1" s="1"/>
  <c r="R210" i="1"/>
  <c r="L63" i="1"/>
  <c r="R63" i="1" s="1"/>
  <c r="L424" i="1"/>
  <c r="R424" i="1" s="1"/>
  <c r="R378" i="1"/>
  <c r="R390" i="1"/>
  <c r="R371" i="1"/>
  <c r="R415" i="1"/>
  <c r="R321" i="1"/>
  <c r="R332" i="1"/>
  <c r="R230" i="1"/>
  <c r="R75" i="1"/>
  <c r="L45" i="1"/>
  <c r="R45" i="1" s="1"/>
  <c r="L265" i="1"/>
  <c r="R265" i="1" s="1"/>
  <c r="L430" i="1"/>
  <c r="R430" i="1" s="1"/>
  <c r="L400" i="1"/>
  <c r="R400" i="1" s="1"/>
  <c r="R345" i="1"/>
  <c r="R297" i="1"/>
  <c r="L234" i="1"/>
  <c r="R234" i="1" s="1"/>
  <c r="R197" i="1"/>
  <c r="L421" i="1"/>
  <c r="R421" i="1" s="1"/>
  <c r="L269" i="1"/>
  <c r="R269" i="1" s="1"/>
  <c r="L254" i="1"/>
  <c r="R254" i="1" s="1"/>
  <c r="L249" i="1"/>
  <c r="R249" i="1" s="1"/>
  <c r="R88" i="1"/>
  <c r="L33" i="1"/>
  <c r="R33" i="1" s="1"/>
  <c r="L438" i="1"/>
  <c r="R438" i="1" s="1"/>
  <c r="R145" i="1"/>
  <c r="L138" i="1"/>
  <c r="R138" i="1" s="1"/>
  <c r="L369" i="1"/>
  <c r="R369" i="1" s="1"/>
  <c r="L262" i="1"/>
  <c r="R262" i="1" s="1"/>
  <c r="L235" i="1"/>
  <c r="R235" i="1" s="1"/>
  <c r="R433" i="1"/>
  <c r="L363" i="1"/>
  <c r="R363" i="1" s="1"/>
  <c r="L337" i="1"/>
  <c r="R337" i="1" s="1"/>
  <c r="L349" i="1"/>
  <c r="R349" i="1" s="1"/>
  <c r="R185" i="1"/>
  <c r="R77" i="1"/>
  <c r="R318" i="1"/>
  <c r="L208" i="1"/>
  <c r="R208" i="1" s="1"/>
  <c r="R202" i="1"/>
  <c r="R35" i="1"/>
  <c r="R357" i="1"/>
  <c r="R310" i="1"/>
  <c r="L228" i="1"/>
  <c r="R228" i="1" s="1"/>
  <c r="L182" i="1"/>
  <c r="R182" i="1" s="1"/>
  <c r="R155" i="1"/>
  <c r="R200" i="1"/>
  <c r="R144" i="1"/>
  <c r="R141" i="1"/>
  <c r="L158" i="1"/>
  <c r="R158" i="1" s="1"/>
  <c r="L199" i="1"/>
  <c r="R199" i="1" s="1"/>
  <c r="L147" i="1"/>
  <c r="R147" i="1" s="1"/>
  <c r="L201" i="1"/>
  <c r="R201" i="1" s="1"/>
  <c r="R189" i="1"/>
  <c r="L126" i="1"/>
  <c r="R126" i="1" s="1"/>
  <c r="L130" i="1"/>
  <c r="R130" i="1" s="1"/>
  <c r="L157" i="1"/>
  <c r="R157" i="1" s="1"/>
  <c r="R193" i="1"/>
  <c r="L122" i="1"/>
  <c r="R122" i="1" s="1"/>
  <c r="R212" i="1"/>
  <c r="R224" i="1"/>
  <c r="R165" i="1"/>
  <c r="R169" i="1"/>
  <c r="R17" i="1"/>
  <c r="R194" i="1"/>
  <c r="R101" i="1"/>
  <c r="R215" i="1"/>
  <c r="L293" i="1"/>
  <c r="R293" i="1" s="1"/>
  <c r="L242" i="1"/>
  <c r="R242" i="1" s="1"/>
  <c r="R252" i="1"/>
  <c r="R437" i="1"/>
  <c r="R58" i="1"/>
  <c r="R108" i="1"/>
  <c r="R281" i="1"/>
  <c r="R373" i="1"/>
  <c r="R315" i="1"/>
  <c r="R284" i="1"/>
  <c r="L187" i="1"/>
  <c r="R187" i="1" s="1"/>
  <c r="R85" i="1"/>
  <c r="L258" i="1"/>
  <c r="R258" i="1" s="1"/>
  <c r="R358" i="1"/>
  <c r="R328" i="1"/>
  <c r="L28" i="1"/>
  <c r="R28" i="1" s="1"/>
  <c r="L245" i="1"/>
  <c r="R245" i="1" s="1"/>
  <c r="U81" i="7" l="1"/>
  <c r="V81" i="7"/>
  <c r="U52" i="7"/>
  <c r="V52" i="7"/>
  <c r="U15" i="7"/>
  <c r="V15" i="7"/>
  <c r="U14" i="7"/>
  <c r="V14" i="7"/>
  <c r="U43" i="7"/>
  <c r="V43" i="7"/>
  <c r="U68" i="7"/>
  <c r="V68" i="7"/>
  <c r="U7" i="7"/>
  <c r="V7" i="7"/>
  <c r="U22" i="7"/>
  <c r="V22" i="7"/>
  <c r="U56" i="7"/>
  <c r="V56" i="7"/>
  <c r="V31" i="7"/>
  <c r="U31" i="7"/>
  <c r="V33" i="7"/>
  <c r="U33" i="7"/>
  <c r="V27" i="7"/>
  <c r="U27" i="7"/>
  <c r="V48" i="7"/>
  <c r="U48" i="7"/>
  <c r="U63" i="7"/>
  <c r="V63" i="7"/>
  <c r="U79" i="7"/>
  <c r="V79" i="7"/>
  <c r="U65" i="7"/>
  <c r="V65" i="7"/>
  <c r="U10" i="7"/>
  <c r="V10" i="7"/>
  <c r="U25" i="7"/>
  <c r="V25" i="7"/>
  <c r="U37" i="7"/>
  <c r="V37" i="7"/>
  <c r="V62" i="7"/>
  <c r="U62" i="7"/>
  <c r="U41" i="7"/>
  <c r="V41" i="7"/>
  <c r="U35" i="7"/>
  <c r="V35" i="7"/>
  <c r="V60" i="7"/>
  <c r="U60" i="7"/>
  <c r="V45" i="7"/>
  <c r="U45" i="7"/>
  <c r="U29" i="7"/>
  <c r="V29" i="7"/>
  <c r="U66" i="7"/>
  <c r="V66" i="7"/>
  <c r="U50" i="7"/>
  <c r="V50" i="7"/>
  <c r="V4" i="7"/>
  <c r="U4" i="7"/>
  <c r="U74" i="7"/>
  <c r="V74" i="7"/>
  <c r="U69" i="7"/>
  <c r="V69" i="7"/>
  <c r="U77" i="7"/>
  <c r="V77" i="7"/>
  <c r="U44" i="7"/>
  <c r="V44" i="7"/>
  <c r="V32" i="7"/>
  <c r="U32" i="7"/>
  <c r="U5" i="7"/>
  <c r="V5" i="7"/>
  <c r="U57" i="7"/>
  <c r="V57" i="7"/>
  <c r="V61" i="7"/>
  <c r="U61" i="7"/>
  <c r="V11" i="7"/>
  <c r="U11" i="7"/>
  <c r="U70" i="7"/>
  <c r="V70" i="7"/>
  <c r="U78" i="7"/>
  <c r="V78" i="7"/>
  <c r="U36" i="7"/>
  <c r="V36" i="7"/>
  <c r="U39" i="7"/>
  <c r="V39" i="7"/>
  <c r="V67" i="7"/>
  <c r="U67" i="7"/>
  <c r="U30" i="7"/>
  <c r="V30" i="7"/>
  <c r="U6" i="7"/>
  <c r="V6" i="7"/>
  <c r="U20" i="7"/>
  <c r="V20" i="7"/>
  <c r="V46" i="7"/>
  <c r="U46" i="7"/>
  <c r="V12" i="7"/>
  <c r="U12" i="7"/>
  <c r="V34" i="7"/>
  <c r="U34" i="7"/>
  <c r="U49" i="7"/>
  <c r="V49" i="7"/>
  <c r="U64" i="7"/>
  <c r="V64" i="7"/>
  <c r="U2" i="7"/>
  <c r="V2" i="7"/>
  <c r="U71" i="7"/>
  <c r="V71" i="7"/>
  <c r="V76" i="7"/>
  <c r="U76" i="7"/>
  <c r="U23" i="7"/>
  <c r="V23" i="7"/>
  <c r="U58" i="7"/>
  <c r="V58" i="7"/>
  <c r="U54" i="7"/>
  <c r="V54" i="7"/>
  <c r="V21" i="7"/>
  <c r="U21" i="7"/>
  <c r="U8" i="7"/>
  <c r="V8" i="7"/>
  <c r="V26" i="7"/>
  <c r="U26" i="7"/>
  <c r="U13" i="7"/>
  <c r="V13" i="7"/>
  <c r="U53" i="7"/>
  <c r="V53" i="7"/>
  <c r="U28" i="7"/>
  <c r="V28" i="7"/>
  <c r="V17" i="7"/>
  <c r="U17" i="7"/>
  <c r="U55" i="7"/>
  <c r="V55" i="7"/>
  <c r="V18" i="7"/>
  <c r="U18" i="7"/>
  <c r="U80" i="7"/>
  <c r="V80" i="7"/>
  <c r="U38" i="7"/>
  <c r="V38" i="7"/>
  <c r="U42" i="7"/>
  <c r="V42" i="7"/>
  <c r="U72" i="7"/>
  <c r="V72" i="7"/>
  <c r="V47" i="7"/>
  <c r="U47" i="7"/>
  <c r="V3" i="7"/>
  <c r="U3" i="7"/>
  <c r="U9" i="7"/>
  <c r="V9" i="7"/>
  <c r="U24" i="7"/>
  <c r="V24" i="7"/>
  <c r="U19" i="7"/>
  <c r="V19" i="7"/>
  <c r="U40" i="7"/>
  <c r="V40" i="7"/>
  <c r="U16" i="7"/>
  <c r="V16" i="7"/>
  <c r="V59" i="7"/>
  <c r="U59" i="7"/>
  <c r="U51" i="7"/>
  <c r="V51" i="7"/>
  <c r="U73" i="7"/>
  <c r="V73" i="7"/>
  <c r="V75" i="7"/>
  <c r="U75" i="7"/>
  <c r="T324" i="3"/>
  <c r="W324" i="3"/>
  <c r="T347" i="3"/>
  <c r="W347" i="3"/>
  <c r="T279" i="3"/>
  <c r="W279" i="3"/>
  <c r="T345" i="3"/>
  <c r="W345" i="3"/>
  <c r="T344" i="3"/>
  <c r="W344" i="3"/>
  <c r="T357" i="3"/>
  <c r="W357" i="3"/>
  <c r="T350" i="3"/>
  <c r="W350" i="3"/>
  <c r="T272" i="3"/>
  <c r="W272" i="3"/>
  <c r="T285" i="3"/>
  <c r="W285" i="3"/>
  <c r="T307" i="3"/>
  <c r="W307" i="3"/>
  <c r="T360" i="3"/>
  <c r="W360" i="3"/>
  <c r="T328" i="3"/>
  <c r="W328" i="3"/>
  <c r="T327" i="3"/>
  <c r="W327" i="3"/>
  <c r="T308" i="3"/>
  <c r="W308" i="3"/>
  <c r="T290" i="3"/>
  <c r="W290" i="3"/>
  <c r="T355" i="3"/>
  <c r="W355" i="3"/>
  <c r="T297" i="3"/>
  <c r="W297" i="3"/>
  <c r="T317" i="3"/>
  <c r="W317" i="3"/>
  <c r="T329" i="3"/>
  <c r="W329" i="3"/>
  <c r="T338" i="3"/>
  <c r="W338" i="3"/>
  <c r="T337" i="3"/>
  <c r="W337" i="3"/>
  <c r="T336" i="3"/>
  <c r="W336" i="3"/>
  <c r="T335" i="3"/>
  <c r="W335" i="3"/>
  <c r="T351" i="3"/>
  <c r="W351" i="3"/>
  <c r="T349" i="3"/>
  <c r="W349" i="3"/>
  <c r="T323" i="3"/>
  <c r="W323" i="3"/>
  <c r="T322" i="3"/>
  <c r="W322" i="3"/>
  <c r="T283" i="3"/>
  <c r="W283" i="3"/>
  <c r="T331" i="3"/>
  <c r="W331" i="3"/>
  <c r="T340" i="3"/>
  <c r="W340" i="3"/>
  <c r="T310" i="3"/>
  <c r="W310" i="3"/>
  <c r="T319" i="3"/>
  <c r="W319" i="3"/>
  <c r="T291" i="3"/>
  <c r="W291" i="3"/>
  <c r="T303" i="3"/>
  <c r="W303" i="3"/>
  <c r="T316" i="3"/>
  <c r="W316" i="3"/>
  <c r="T318" i="3"/>
  <c r="W318" i="3"/>
  <c r="T293" i="3"/>
  <c r="W293" i="3"/>
  <c r="T320" i="3"/>
  <c r="W320" i="3"/>
  <c r="T292" i="3"/>
  <c r="W292" i="3"/>
  <c r="T274" i="3"/>
  <c r="W274" i="3"/>
  <c r="T304" i="3"/>
  <c r="W304" i="3"/>
  <c r="T334" i="3"/>
  <c r="W334" i="3"/>
  <c r="T281" i="3"/>
  <c r="W281" i="3"/>
  <c r="T343" i="3"/>
  <c r="W343" i="3"/>
  <c r="T280" i="3"/>
  <c r="W280" i="3"/>
  <c r="T342" i="3"/>
  <c r="W342" i="3"/>
  <c r="T341" i="3"/>
  <c r="W341" i="3"/>
  <c r="T294" i="3"/>
  <c r="W294" i="3"/>
  <c r="T354" i="3"/>
  <c r="W354" i="3"/>
  <c r="T305" i="3"/>
  <c r="W305" i="3"/>
  <c r="T346" i="3"/>
  <c r="W346" i="3"/>
  <c r="T276" i="3"/>
  <c r="W276" i="3"/>
  <c r="T301" i="3"/>
  <c r="W301" i="3"/>
  <c r="T289" i="3"/>
  <c r="W289" i="3"/>
  <c r="T314" i="3"/>
  <c r="W314" i="3"/>
  <c r="T356" i="3"/>
  <c r="W356" i="3"/>
  <c r="T363" i="3"/>
  <c r="W363" i="3"/>
  <c r="T299" i="3"/>
  <c r="W299" i="3"/>
  <c r="T278" i="3"/>
  <c r="W278" i="3"/>
  <c r="T271" i="3"/>
  <c r="W271" i="3"/>
  <c r="T326" i="3"/>
  <c r="W326" i="3"/>
  <c r="T359" i="3"/>
  <c r="W359" i="3"/>
  <c r="T321" i="3"/>
  <c r="W321" i="3"/>
  <c r="T273" i="3"/>
  <c r="W273" i="3"/>
  <c r="T352" i="3"/>
  <c r="W352" i="3"/>
  <c r="T339" i="3"/>
  <c r="W339" i="3"/>
  <c r="T288" i="3"/>
  <c r="W288" i="3"/>
  <c r="T284" i="3"/>
  <c r="W284" i="3"/>
  <c r="T315" i="3"/>
  <c r="W315" i="3"/>
  <c r="T300" i="3"/>
  <c r="W300" i="3"/>
  <c r="T302" i="3"/>
  <c r="W302" i="3"/>
  <c r="T362" i="3"/>
  <c r="W362" i="3"/>
  <c r="T361" i="3"/>
  <c r="W361" i="3"/>
  <c r="T312" i="3"/>
  <c r="W312" i="3"/>
  <c r="T306" i="3"/>
  <c r="W306" i="3"/>
  <c r="T275" i="3"/>
  <c r="W275" i="3"/>
  <c r="T325" i="3"/>
  <c r="W325" i="3"/>
  <c r="T295" i="3"/>
  <c r="W295" i="3"/>
  <c r="T333" i="3"/>
  <c r="W333" i="3"/>
  <c r="T364" i="3"/>
  <c r="W364" i="3"/>
  <c r="T332" i="3"/>
  <c r="W332" i="3"/>
  <c r="T270" i="3"/>
  <c r="W270" i="3"/>
  <c r="T330" i="3"/>
  <c r="W330" i="3"/>
  <c r="T353" i="3"/>
  <c r="W353" i="3"/>
  <c r="T287" i="3"/>
  <c r="W287" i="3"/>
  <c r="T358" i="3"/>
  <c r="W358" i="3"/>
  <c r="T348" i="3"/>
  <c r="W348" i="3"/>
  <c r="T309" i="3"/>
  <c r="W309" i="3"/>
  <c r="T282" i="3"/>
  <c r="W282" i="3"/>
  <c r="T277" i="3"/>
  <c r="W277" i="3"/>
  <c r="T298" i="3"/>
  <c r="T368" i="3"/>
  <c r="T366" i="3"/>
  <c r="T369" i="3"/>
  <c r="T286" i="3"/>
  <c r="T367" i="3"/>
  <c r="T313" i="3"/>
  <c r="T365" i="3"/>
  <c r="T296" i="3"/>
  <c r="T3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Ashley Ford</author>
  </authors>
  <commentList>
    <comment ref="D1" authorId="0" shapeId="0" xr:uid="{E4075440-2435-4968-B501-A6F227AAF799}">
      <text>
        <r>
          <rPr>
            <b/>
            <sz val="9"/>
            <color indexed="81"/>
            <rFont val="Tahoma"/>
            <family val="2"/>
          </rPr>
          <t>Ashley Ford:</t>
        </r>
        <r>
          <rPr>
            <sz val="9"/>
            <color indexed="81"/>
            <rFont val="Tahoma"/>
            <family val="2"/>
          </rPr>
          <t xml:space="preserve">
Sample increments were redesigned after the field season to accommodate budgetary constraints.</t>
        </r>
      </text>
    </comment>
    <comment ref="L1" authorId="0" shapeId="0" xr:uid="{D671B2DA-86F6-4659-B5F1-374EA237EF9B}">
      <text>
        <r>
          <rPr>
            <b/>
            <sz val="9"/>
            <color indexed="81"/>
            <rFont val="Tahoma"/>
            <charset val="1"/>
          </rPr>
          <t>Ashley Ford:</t>
        </r>
        <r>
          <rPr>
            <sz val="9"/>
            <color indexed="81"/>
            <rFont val="Tahoma"/>
            <charset val="1"/>
          </rPr>
          <t xml:space="preserve">
Gallon Ziplog bag used to transport all samples from the field. However, some samples had to be weighed in the small, aluminum pans prior to weighing because the full subsample exceeded our scale max.</t>
        </r>
      </text>
    </comment>
    <comment ref="M1" authorId="0" shapeId="0" xr:uid="{470DF29E-072D-48AE-BB38-FD69662B1439}">
      <text>
        <r>
          <rPr>
            <b/>
            <sz val="9"/>
            <color indexed="81"/>
            <rFont val="Tahoma"/>
            <family val="2"/>
          </rPr>
          <t>Ashley Ford:</t>
        </r>
        <r>
          <rPr>
            <sz val="9"/>
            <color indexed="81"/>
            <rFont val="Tahoma"/>
            <family val="2"/>
          </rPr>
          <t xml:space="preserve">
See hidden column H for Sample Storage Vessel weights.</t>
        </r>
      </text>
    </comment>
    <comment ref="O1" authorId="0" shapeId="0" xr:uid="{0F36616B-440D-472F-9AAC-DEE465F4E3E2}">
      <text>
        <r>
          <rPr>
            <b/>
            <sz val="9"/>
            <color indexed="81"/>
            <rFont val="Tahoma"/>
            <family val="2"/>
          </rPr>
          <t>Ashley Ford:</t>
        </r>
        <r>
          <rPr>
            <sz val="9"/>
            <color indexed="81"/>
            <rFont val="Tahoma"/>
            <family val="2"/>
          </rPr>
          <t xml:space="preserve">
Various containers were used for drying (8.71 g = transfer to Gallon Ziploc bag before drying, 13.01 g = small rectangular pan, and 23.23 g = round pie plate). Some larger samples required up to 3 drying vessels.</t>
        </r>
      </text>
    </comment>
    <comment ref="P1" authorId="0" shapeId="0" xr:uid="{60AB916F-5987-489E-9C77-D87861ED3FF6}">
      <text>
        <r>
          <rPr>
            <b/>
            <sz val="9"/>
            <color indexed="81"/>
            <rFont val="Tahoma"/>
            <family val="2"/>
          </rPr>
          <t>Ashley Ford:</t>
        </r>
        <r>
          <rPr>
            <sz val="9"/>
            <color indexed="81"/>
            <rFont val="Tahoma"/>
            <family val="2"/>
          </rPr>
          <t xml:space="preserve">
See hidden column K for Sample Drying Vessel weights.</t>
        </r>
      </text>
    </comment>
    <comment ref="R1" authorId="0" shapeId="0" xr:uid="{AF90FD33-0AA4-4D54-A1F5-C100C3938AC9}">
      <text>
        <r>
          <rPr>
            <b/>
            <sz val="9"/>
            <color indexed="81"/>
            <rFont val="Tahoma"/>
            <charset val="1"/>
          </rPr>
          <t>Ashley Ford:</t>
        </r>
        <r>
          <rPr>
            <sz val="9"/>
            <color indexed="81"/>
            <rFont val="Tahoma"/>
            <charset val="1"/>
          </rPr>
          <t xml:space="preserve">
This is the weight of the sample in the drying vessel after I combined the sample increments and did a light grind to breakup the aggregates/vegetation prior to sieving. It's worth noting that samples 01-02 to 09-10 were stored in 2x paper bag for a total vessel weight of 15.18 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tc={24E48F31-DC43-4629-A1D5-C37656F2973E}</author>
    <author>tc={110777B7-E4FB-4835-9C70-F8C2CE850949}</author>
  </authors>
  <commentList>
    <comment ref="D1" authorId="0" shapeId="0" xr:uid="{24E48F31-DC43-4629-A1D5-C37656F2973E}">
      <text>
        <t>[Threaded comment]
Your version of Excel allows you to read this threaded comment; however, any edits to it will get removed if the file is opened in a newer version of Excel. Learn more: https://go.microsoft.com/fwlink/?linkid=870924
Comment:
    Typically, a 10 g sample is weighed, dried at 105 C overnight, and reweighed. However, Dan advised that I use 3 g and measure it to 3-decimals due to my limited amount of sample.</t>
      </text>
    </comment>
    <comment ref="H1" authorId="1" shapeId="0" xr:uid="{110777B7-E4FB-4835-9C70-F8C2CE850949}">
      <text>
        <t>[Threaded comment]
Your version of Excel allows you to read this threaded comment; however, any edits to it will get removed if the file is opened in a newer version of Excel. Learn more: https://go.microsoft.com/fwlink/?linkid=870924
Comment:
    40 grams when possible</t>
      </text>
    </comment>
  </commentList>
</comments>
</file>

<file path=xl/sharedStrings.xml><?xml version="1.0" encoding="utf-8"?>
<sst xmlns="http://schemas.openxmlformats.org/spreadsheetml/2006/main" count="6097" uniqueCount="711">
  <si>
    <t>Sample</t>
  </si>
  <si>
    <t>Notes</t>
  </si>
  <si>
    <t>Surface</t>
  </si>
  <si>
    <t>Moisture Content (%)</t>
  </si>
  <si>
    <t>Field Measurements</t>
  </si>
  <si>
    <r>
      <t xml:space="preserve">Subsample Wt., </t>
    </r>
    <r>
      <rPr>
        <b/>
        <u/>
        <sz val="11"/>
        <color theme="1"/>
        <rFont val="Aptos Narrow"/>
        <family val="2"/>
        <scheme val="minor"/>
      </rPr>
      <t>in</t>
    </r>
    <r>
      <rPr>
        <b/>
        <sz val="11"/>
        <color theme="1"/>
        <rFont val="Aptos Narrow"/>
        <family val="2"/>
        <scheme val="minor"/>
      </rPr>
      <t xml:space="preserve"> </t>
    </r>
    <r>
      <rPr>
        <b/>
        <i/>
        <sz val="11"/>
        <color theme="1"/>
        <rFont val="Aptos Narrow"/>
        <family val="2"/>
        <scheme val="minor"/>
      </rPr>
      <t xml:space="preserve">Sample Storage Vessel </t>
    </r>
    <r>
      <rPr>
        <b/>
        <sz val="11"/>
        <color theme="1"/>
        <rFont val="Aptos Narrow"/>
        <family val="2"/>
        <scheme val="minor"/>
      </rPr>
      <t>(g)</t>
    </r>
  </si>
  <si>
    <r>
      <t xml:space="preserve">Subsample Wt. </t>
    </r>
    <r>
      <rPr>
        <b/>
        <u/>
        <sz val="11"/>
        <color theme="1"/>
        <rFont val="Aptos Narrow"/>
        <family val="2"/>
        <scheme val="minor"/>
      </rPr>
      <t>in</t>
    </r>
    <r>
      <rPr>
        <b/>
        <sz val="11"/>
        <color theme="1"/>
        <rFont val="Aptos Narrow"/>
        <family val="2"/>
        <scheme val="minor"/>
      </rPr>
      <t xml:space="preserve"> Drying Vessel (g)</t>
    </r>
  </si>
  <si>
    <r>
      <t xml:space="preserve">Drying Vessle(s) Wt. (g) 
</t>
    </r>
    <r>
      <rPr>
        <i/>
        <sz val="10"/>
        <color theme="1"/>
        <rFont val="Aptos Narrow"/>
        <family val="2"/>
        <scheme val="minor"/>
      </rPr>
      <t xml:space="preserve">
Various containers were used for drying (8.71 g = transfer to Gallon Ziploc bag before drying, 13.01 g = small rectangular pan, and 23.23 g = round pie plate). Some larger samples required up to 3 drying vessels.</t>
    </r>
  </si>
  <si>
    <r>
      <t xml:space="preserve">Subsample Wt., </t>
    </r>
    <r>
      <rPr>
        <b/>
        <u/>
        <sz val="11"/>
        <color theme="1"/>
        <rFont val="Aptos Narrow"/>
        <family val="2"/>
        <scheme val="minor"/>
      </rPr>
      <t>excluding</t>
    </r>
    <r>
      <rPr>
        <b/>
        <sz val="11"/>
        <color theme="1"/>
        <rFont val="Aptos Narrow"/>
        <family val="2"/>
        <scheme val="minor"/>
      </rPr>
      <t xml:space="preserve"> </t>
    </r>
    <r>
      <rPr>
        <b/>
        <i/>
        <sz val="11"/>
        <color theme="1"/>
        <rFont val="Aptos Narrow"/>
        <family val="2"/>
        <scheme val="minor"/>
      </rPr>
      <t>Sample Storage Vessel Wt</t>
    </r>
    <r>
      <rPr>
        <b/>
        <sz val="11"/>
        <color theme="1"/>
        <rFont val="Aptos Narrow"/>
        <family val="2"/>
        <scheme val="minor"/>
      </rPr>
      <t xml:space="preserve">. (g)
</t>
    </r>
    <r>
      <rPr>
        <i/>
        <sz val="10"/>
        <color theme="1"/>
        <rFont val="Aptos Narrow"/>
        <family val="2"/>
        <scheme val="minor"/>
      </rPr>
      <t>See hidden column H for Sample Storage Vessel weights.</t>
    </r>
  </si>
  <si>
    <r>
      <t xml:space="preserve">Subsample Wt., </t>
    </r>
    <r>
      <rPr>
        <b/>
        <u/>
        <sz val="11"/>
        <color theme="1"/>
        <rFont val="Aptos Narrow"/>
        <family val="2"/>
        <scheme val="minor"/>
      </rPr>
      <t>excluding</t>
    </r>
    <r>
      <rPr>
        <b/>
        <sz val="11"/>
        <color theme="1"/>
        <rFont val="Aptos Narrow"/>
        <family val="2"/>
        <scheme val="minor"/>
      </rPr>
      <t xml:space="preserve"> </t>
    </r>
    <r>
      <rPr>
        <b/>
        <i/>
        <sz val="11"/>
        <color theme="1"/>
        <rFont val="Aptos Narrow"/>
        <family val="2"/>
        <scheme val="minor"/>
      </rPr>
      <t>Sample Drying Vessel Wt</t>
    </r>
    <r>
      <rPr>
        <b/>
        <sz val="11"/>
        <color theme="1"/>
        <rFont val="Aptos Narrow"/>
        <family val="2"/>
        <scheme val="minor"/>
      </rPr>
      <t xml:space="preserve">. (g)
</t>
    </r>
    <r>
      <rPr>
        <i/>
        <sz val="10"/>
        <color theme="1"/>
        <rFont val="Aptos Narrow"/>
        <family val="2"/>
        <scheme val="minor"/>
      </rPr>
      <t>See hidden column K for Sample Drying Vessel weights.</t>
    </r>
  </si>
  <si>
    <t>Extraction:</t>
  </si>
  <si>
    <t>Weather:</t>
  </si>
  <si>
    <t>Air-Drying:</t>
  </si>
  <si>
    <t>Oven-Drying:</t>
  </si>
  <si>
    <r>
      <t xml:space="preserve">Lab Measurements, WET 
</t>
    </r>
    <r>
      <rPr>
        <i/>
        <sz val="10"/>
        <color theme="1"/>
        <rFont val="Aptos Narrow"/>
        <family val="2"/>
        <scheme val="minor"/>
      </rPr>
      <t>To calc. Soil Moisture; used entire subsample</t>
    </r>
  </si>
  <si>
    <r>
      <t xml:space="preserve">Lab Measurements, DRY
</t>
    </r>
    <r>
      <rPr>
        <i/>
        <sz val="10"/>
        <color theme="1"/>
        <rFont val="Aptos Narrow"/>
        <family val="2"/>
        <scheme val="minor"/>
      </rPr>
      <t>To calc. Soil Moisture; used entire subsample</t>
    </r>
  </si>
  <si>
    <t>Locations:</t>
  </si>
  <si>
    <t>Sites:</t>
  </si>
  <si>
    <t xml:space="preserve"> 'GC' stands for Grandview Campground in Bellevue, CO</t>
  </si>
  <si>
    <r>
      <t xml:space="preserve">Sample Storage Vessel Wt. (g)
</t>
    </r>
    <r>
      <rPr>
        <i/>
        <sz val="9"/>
        <color theme="1"/>
        <rFont val="Aptos Narrow"/>
        <family val="2"/>
        <scheme val="minor"/>
      </rPr>
      <t xml:space="preserve">
Gallon Ziplog bag used to transport all samples from the field. However, some samples had to be weighed in the small, aluminum pans prior to weighing because the full subsample exceeded our scale max.</t>
    </r>
  </si>
  <si>
    <t>Elevations:</t>
  </si>
  <si>
    <t>Soil CORE Results_2025_Grandview Campground (GC), Bellevue CO</t>
  </si>
  <si>
    <t>Test</t>
  </si>
  <si>
    <t>FTIR</t>
  </si>
  <si>
    <t>DIA</t>
  </si>
  <si>
    <t>TEX</t>
  </si>
  <si>
    <t>Core</t>
  </si>
  <si>
    <t>GC Road</t>
  </si>
  <si>
    <t>GC 6.5</t>
  </si>
  <si>
    <t>GC 26</t>
  </si>
  <si>
    <t>GC 65</t>
  </si>
  <si>
    <t>GC 130</t>
  </si>
  <si>
    <t>2025-10</t>
  </si>
  <si>
    <t>2025-11</t>
  </si>
  <si>
    <t>2025-12</t>
  </si>
  <si>
    <t>2025-13</t>
  </si>
  <si>
    <t>2025-14</t>
  </si>
  <si>
    <t>2025-15</t>
  </si>
  <si>
    <t>2025-16</t>
  </si>
  <si>
    <t>2025-17</t>
  </si>
  <si>
    <t>2025-18</t>
  </si>
  <si>
    <t>2025-19</t>
  </si>
  <si>
    <t>2025-20</t>
  </si>
  <si>
    <t>2025-21</t>
  </si>
  <si>
    <t>2025-21A</t>
  </si>
  <si>
    <t>2025-21B</t>
  </si>
  <si>
    <t>Depth Range (cm)</t>
  </si>
  <si>
    <t>Ring Size (cm)</t>
  </si>
  <si>
    <t>30-28</t>
  </si>
  <si>
    <t>28-26</t>
  </si>
  <si>
    <t>26-24</t>
  </si>
  <si>
    <t>24-22</t>
  </si>
  <si>
    <t>22-20</t>
  </si>
  <si>
    <t>20-18</t>
  </si>
  <si>
    <t>18-16</t>
  </si>
  <si>
    <t>16-14</t>
  </si>
  <si>
    <t>14-12</t>
  </si>
  <si>
    <t>12-10</t>
  </si>
  <si>
    <t>10-9</t>
  </si>
  <si>
    <t>9-8</t>
  </si>
  <si>
    <t>8-7</t>
  </si>
  <si>
    <t>7-6</t>
  </si>
  <si>
    <t>6-5</t>
  </si>
  <si>
    <t>5-4</t>
  </si>
  <si>
    <t>4-3</t>
  </si>
  <si>
    <t>3-2</t>
  </si>
  <si>
    <t>2-1</t>
  </si>
  <si>
    <t>1-0</t>
  </si>
  <si>
    <t>Cap</t>
  </si>
  <si>
    <t>Description of Soi l Moisture</t>
  </si>
  <si>
    <t>Collection Date</t>
  </si>
  <si>
    <t>Very Dry</t>
  </si>
  <si>
    <t>Little gravel; no roots</t>
  </si>
  <si>
    <t>No roots; minor little gravel</t>
  </si>
  <si>
    <t>Dry</t>
  </si>
  <si>
    <t>Baby roots; clumps; minor little gravel</t>
  </si>
  <si>
    <t>Baby roots; clumps</t>
  </si>
  <si>
    <t>Baby roots; minor gravel; clumping</t>
  </si>
  <si>
    <t>Roots; minor gravel; "Sample needed help"</t>
  </si>
  <si>
    <t>Minor roots; bigger gravel; minor clump</t>
  </si>
  <si>
    <t>Big clump; roots; gravel</t>
  </si>
  <si>
    <t>Big roots; gravel</t>
  </si>
  <si>
    <t>Gravel; roots; clumps</t>
  </si>
  <si>
    <t>Big roots; minor clumps; larger gravel</t>
  </si>
  <si>
    <t>Rotos; minor clumps</t>
  </si>
  <si>
    <t>Average</t>
  </si>
  <si>
    <t>Roots; clumps; vegetation</t>
  </si>
  <si>
    <t>Roots; clumps</t>
  </si>
  <si>
    <t>Roots; clumps; rocks</t>
  </si>
  <si>
    <t>Roots; big rocks</t>
  </si>
  <si>
    <t>Big roots; little gravel; clumps</t>
  </si>
  <si>
    <t>Big roots; minor gravel; clumps</t>
  </si>
  <si>
    <t>Vegetation; minor gravel; roots</t>
  </si>
  <si>
    <t>Minor roots; minor gravel; chunks</t>
  </si>
  <si>
    <t>Next sample mixed with this one; large gravel; hard to cut</t>
  </si>
  <si>
    <t>Easier to cut; gravel; minor roots</t>
  </si>
  <si>
    <t>Roots, pebbles</t>
  </si>
  <si>
    <t>Roots, minor gravel, less rocks in each sample</t>
  </si>
  <si>
    <t>Soil feels cooler; minor roots; minor gravel</t>
  </si>
  <si>
    <t>Minor roots; minor gravel</t>
  </si>
  <si>
    <t>Pulled away/possibly mixed</t>
  </si>
  <si>
    <t>Baby roots; minor gravel</t>
  </si>
  <si>
    <t>Rock; baby roots; minor gravel</t>
  </si>
  <si>
    <t>Rock; baby roots; minor gravel; aggregation</t>
  </si>
  <si>
    <t>Rock; baby roots; minor gravel; aggregation; less gravel in this one and some spillage</t>
  </si>
  <si>
    <t>Lots of roots; aggregated</t>
  </si>
  <si>
    <t>Some root; minor gravel</t>
  </si>
  <si>
    <t>Some gravel; minor root</t>
  </si>
  <si>
    <t>Gravel; minor root</t>
  </si>
  <si>
    <t>Lots of roots; minor gravel; clumps</t>
  </si>
  <si>
    <t>Clumps; minor gravel; roots</t>
  </si>
  <si>
    <t>Clumps; minor gravel; roots; huge rock; some vegetation</t>
  </si>
  <si>
    <t>Clumps; minor gravel; roots; huge rock; some vegetation; big clump</t>
  </si>
  <si>
    <t>Clumps; vegetation</t>
  </si>
  <si>
    <t>Root puck</t>
  </si>
  <si>
    <t>Thick root pad</t>
  </si>
  <si>
    <t>Moist</t>
  </si>
  <si>
    <t>Clean extraction; visible roots</t>
  </si>
  <si>
    <t>visible roots</t>
  </si>
  <si>
    <t>Root cutting needed</t>
  </si>
  <si>
    <t>Only foil soil; nothing in ring due to ring falling out with extraction</t>
  </si>
  <si>
    <t>Not a lot of sample; large pore spaces/air pockets</t>
  </si>
  <si>
    <t>No sample in rings; gravel</t>
  </si>
  <si>
    <t>Some sample in ring; lots of roots</t>
  </si>
  <si>
    <t>No sample in ring; some gravel; larger root</t>
  </si>
  <si>
    <t>Gravel; roots; no sample in ring</t>
  </si>
  <si>
    <t>Gravel; roots</t>
  </si>
  <si>
    <t>Big gravel piece; roots</t>
  </si>
  <si>
    <t>Big root; small gravels</t>
  </si>
  <si>
    <t>Roots; small gravels</t>
  </si>
  <si>
    <t>Gravel; vegetation; root</t>
  </si>
  <si>
    <t>Gravel; roots; vegetation</t>
  </si>
  <si>
    <t>Roots; some gravel; vegetation</t>
  </si>
  <si>
    <t>Roots; vegetation</t>
  </si>
  <si>
    <t>Dense root and vegetation</t>
  </si>
  <si>
    <t>Top spacer; Sample fell out of ring; minimal roots</t>
  </si>
  <si>
    <t>Some gravel; minimal roots</t>
  </si>
  <si>
    <t>Big gravel; minimal roots</t>
  </si>
  <si>
    <t>Minor roots</t>
  </si>
  <si>
    <t>Little gravels; one big gravel; roots</t>
  </si>
  <si>
    <t>Little gravels; minor roots</t>
  </si>
  <si>
    <t>Big gravel; minor roots</t>
  </si>
  <si>
    <t>Minimal roots; minor gravel</t>
  </si>
  <si>
    <t>Some gravel; minor roots</t>
  </si>
  <si>
    <t>Light gravel</t>
  </si>
  <si>
    <t>Light roots, no gravel</t>
  </si>
  <si>
    <t>No gravel; minor roots</t>
  </si>
  <si>
    <t>Vegetation; minor roots; minor gravel</t>
  </si>
  <si>
    <t>Small and big roots (5mm)</t>
  </si>
  <si>
    <t>Heavy roots; vegetation</t>
  </si>
  <si>
    <t>Vegetation; minor roots</t>
  </si>
  <si>
    <t>Vegetation; heavy roots</t>
  </si>
  <si>
    <t>Vegetation; grass</t>
  </si>
  <si>
    <t>Top Spacer; Small roots, gravel, pebbles</t>
  </si>
  <si>
    <t>Small roots; gravel; pebbles; had to drop some due to hole in foil</t>
  </si>
  <si>
    <t>Aggregates; small roots; gravel</t>
  </si>
  <si>
    <t>Plant debris; small roots; minor gravel</t>
  </si>
  <si>
    <t>Aggregate; small roots; gravel</t>
  </si>
  <si>
    <t>Aggregate; small roots; gravel; large rocks</t>
  </si>
  <si>
    <t>Large aggregates; small roots; gravel</t>
  </si>
  <si>
    <t>Small roots; minor gravel</t>
  </si>
  <si>
    <t>Small roots; very little gravel</t>
  </si>
  <si>
    <t>Small gravel; small roots</t>
  </si>
  <si>
    <t>Small roots; drier</t>
  </si>
  <si>
    <t>Thick root; small roots; drier</t>
  </si>
  <si>
    <t>Small roots; aggregate; finer clastics</t>
  </si>
  <si>
    <t>Small roots; aggregate; finer clastics; more plant material</t>
  </si>
  <si>
    <t>A lot more plant matter; larger roots</t>
  </si>
  <si>
    <t>Plant matter; finer sediment</t>
  </si>
  <si>
    <t>More plant matter; fine sediment</t>
  </si>
  <si>
    <t>Roots; gravel</t>
  </si>
  <si>
    <t>Larger gravel; minor roots; vegetation</t>
  </si>
  <si>
    <t>Lots of gravel</t>
  </si>
  <si>
    <t>Gravel; some larger rocks</t>
  </si>
  <si>
    <t>Lots of gravel; some rocks</t>
  </si>
  <si>
    <t>Minor gravel; some rocks</t>
  </si>
  <si>
    <t>Minor gravel; some rocks; minor clumps</t>
  </si>
  <si>
    <t>Minor gravel; minor roots; minor clumps</t>
  </si>
  <si>
    <t>Minor roots; minor gravel; minor clumps</t>
  </si>
  <si>
    <t>Larger rocks; minor roots; minor gravel; minor clumps</t>
  </si>
  <si>
    <t>Minor roots; gravel; clumps</t>
  </si>
  <si>
    <t>Minor roots; minor clumps</t>
  </si>
  <si>
    <t>Minor roots; vegetation; minor gravel</t>
  </si>
  <si>
    <t>Minor roots; vegetation; minor gravel; some rocks</t>
  </si>
  <si>
    <t>Minor gravel; roots; vegetation; minor clumps</t>
  </si>
  <si>
    <t>Lots of roots; vegetation; minor gravel</t>
  </si>
  <si>
    <t>Lots of roots; vegetation; minor gravel; some rocks</t>
  </si>
  <si>
    <t>Top Spacer; Some came out with the tip; big rock; little roots; gravel</t>
  </si>
  <si>
    <t>Big rock; little roots; gravel</t>
  </si>
  <si>
    <t>More gravel; roots</t>
  </si>
  <si>
    <t>Large rocks; minimal vegetation</t>
  </si>
  <si>
    <t>Large rocks; minimal vegetation; more aggregated soil</t>
  </si>
  <si>
    <t>Large pebbles; vegetation; aggregate</t>
  </si>
  <si>
    <t>More aggregate; pebbles</t>
  </si>
  <si>
    <t>More aggregated</t>
  </si>
  <si>
    <t>More aggregated; no gravel</t>
  </si>
  <si>
    <t>Lots of roots</t>
  </si>
  <si>
    <t>Had to extract metal ring to fix a jam; no measurement</t>
  </si>
  <si>
    <t>Contains some of above ring (DIA GC 26 2025-20)</t>
  </si>
  <si>
    <t>Snipped a roots; found earthworm; aggregates; some gravel; few roots</t>
  </si>
  <si>
    <t>Some clumping; some roots</t>
  </si>
  <si>
    <t>Very clumpy; minor roots</t>
  </si>
  <si>
    <t>Clay; loose pebbes; roots</t>
  </si>
  <si>
    <t>Roots; gravel; some clumping</t>
  </si>
  <si>
    <t>Minor roots; gravel; major clump of clay</t>
  </si>
  <si>
    <t>Less clumpy; minor roots</t>
  </si>
  <si>
    <t>Rocks; increasing roots; some clumping</t>
  </si>
  <si>
    <t>Huge rocks (pushed a really big one out); minor fresh vegetation</t>
  </si>
  <si>
    <t>Large pebbles</t>
  </si>
  <si>
    <t>Crumbly; overall smaller pebbles; one large pebble; minor root</t>
  </si>
  <si>
    <t>Crumbly; overall smaller pebbles; one large pebble; minor root; vegetation</t>
  </si>
  <si>
    <t>Crumbly; overall smaller pebbles; one large pebble; minor root; less aggregated</t>
  </si>
  <si>
    <t>Lots of roots; minor gravel</t>
  </si>
  <si>
    <t>One big pebble; lots of roots; vegetation; very loose</t>
  </si>
  <si>
    <t>Lots of roots; vegetation; very loose</t>
  </si>
  <si>
    <t>Very loose; vegetation; pebbles; roots</t>
  </si>
  <si>
    <t xml:space="preserve">Top Spacer; </t>
  </si>
  <si>
    <t>Minor gravel; rocks; roots</t>
  </si>
  <si>
    <t>Big rock; minor gravel; roots</t>
  </si>
  <si>
    <t>Minor gravel; roots; clumps</t>
  </si>
  <si>
    <t>Medium rocks; gravel; roots</t>
  </si>
  <si>
    <t>Minor gravel; roots; some vegetation</t>
  </si>
  <si>
    <t>Minor gravel; lot of roots; some vegetation</t>
  </si>
  <si>
    <t>A lot of vegetation; gravel; roots</t>
  </si>
  <si>
    <t>Clumps, small rocks, minor gravel, minor roots</t>
  </si>
  <si>
    <t>Lots of gravel, minor roots, rocks, minor clumps</t>
  </si>
  <si>
    <t>Small clumps, minor roots, gravel</t>
  </si>
  <si>
    <t>Large rock, minor gravel, roots</t>
  </si>
  <si>
    <t>More roots, large clumps, minor gravel</t>
  </si>
  <si>
    <t>Minor vegetation, clumps, roots, minor gravel</t>
  </si>
  <si>
    <t>Minor gravel, minor roots, long root system</t>
  </si>
  <si>
    <t>Loose gravel, long root system</t>
  </si>
  <si>
    <t>Minor vegetation, small long roots, minor gravel</t>
  </si>
  <si>
    <t>Minor gravel, long root system</t>
  </si>
  <si>
    <t>Roots, minor gravel</t>
  </si>
  <si>
    <t>Root clumping, minor vegetation</t>
  </si>
  <si>
    <t>Minor gravel, large amount of roots</t>
  </si>
  <si>
    <t>Minor roots, vegetation</t>
  </si>
  <si>
    <t>Minor gravel, lots of roots</t>
  </si>
  <si>
    <t>Lots of vegetation, roots, minor gravel</t>
  </si>
  <si>
    <t>Vegetation, lots of roots, gravel</t>
  </si>
  <si>
    <t>Lots of gravel, rocks, minor roots</t>
  </si>
  <si>
    <t>Lots of gravel, some rocks</t>
  </si>
  <si>
    <t>Lots of gravel, minor roots, some rocks</t>
  </si>
  <si>
    <t>Huge rock and gravel</t>
  </si>
  <si>
    <t>Lots of gravel, roots, clumps, some rock</t>
  </si>
  <si>
    <t>Large rock, clumps, gravel</t>
  </si>
  <si>
    <t>Huge root, mostly gravel and aggregate</t>
  </si>
  <si>
    <t>Roots, aggregate, minor gravel</t>
  </si>
  <si>
    <t>Big roots, charcoal, minor gravel, aggreagate</t>
  </si>
  <si>
    <t>Roots, charcoal, very minor gravel</t>
  </si>
  <si>
    <t>Roots, minor gravel, charcoal</t>
  </si>
  <si>
    <t>Very minor gravel, lots of roots</t>
  </si>
  <si>
    <t>Big rock, roots, minor gravel, vegetation</t>
  </si>
  <si>
    <t>Some gravel, roots, vegetation</t>
  </si>
  <si>
    <t>Lots of organic matter, some gravel, large roots</t>
  </si>
  <si>
    <t>Field Weight, WET (g)</t>
  </si>
  <si>
    <t>Calculations</t>
  </si>
  <si>
    <t>Minor gravel, minor roots, rocks, sandy</t>
  </si>
  <si>
    <t>Minor gravel, minor roots, small rocks</t>
  </si>
  <si>
    <t>Rocks, minor gravel, minor roots</t>
  </si>
  <si>
    <t>Big rocks, minor gravel, minor roots</t>
  </si>
  <si>
    <t>Minor roots, minor gravel</t>
  </si>
  <si>
    <t>Minor roots, minor gravel, rocks</t>
  </si>
  <si>
    <t>Minor roots, minor gravel, aggregates</t>
  </si>
  <si>
    <t>Minor roots, minor gravel, vegetation</t>
  </si>
  <si>
    <t>Minor roots, minor gravel, aggregates, vegetation</t>
  </si>
  <si>
    <t>Minor gravel, minor roots, vegetation, aggregates</t>
  </si>
  <si>
    <t>Roots, rocks, vegetation</t>
  </si>
  <si>
    <t>Field Notes (Undergrads)</t>
  </si>
  <si>
    <t>Rocks, roots, super moist</t>
  </si>
  <si>
    <t>Some roots, super moist</t>
  </si>
  <si>
    <t>More sandy, minor roots, minor rocks, some aggregation</t>
  </si>
  <si>
    <t>Roots, gravel</t>
  </si>
  <si>
    <t>Lots of rocks</t>
  </si>
  <si>
    <t>Big rock, roots, gravel; overlaps with sample 7</t>
  </si>
  <si>
    <t>Roots, gravel; overlap with sample 6</t>
  </si>
  <si>
    <t>Gravel, rocks, minor roots</t>
  </si>
  <si>
    <t>Minor roots, good bit of rocks</t>
  </si>
  <si>
    <t>Minor gravel, roots</t>
  </si>
  <si>
    <t>Lots of roots, gravel, rock</t>
  </si>
  <si>
    <t>Lots of roots, gravel, vegetation</t>
  </si>
  <si>
    <t>Vegetation, roots, small gravel</t>
  </si>
  <si>
    <t>Rocks, small roots</t>
  </si>
  <si>
    <t>Rtoos, small gravel, tiny clumps</t>
  </si>
  <si>
    <t>Pebbles, tiny rocks, some roots</t>
  </si>
  <si>
    <t>Some roots, sand-size rocks</t>
  </si>
  <si>
    <t>Some roots, pebbles</t>
  </si>
  <si>
    <t>Some rocks, some roots; some slipped into sample 8</t>
  </si>
  <si>
    <t>Bunch of roots, some rocks</t>
  </si>
  <si>
    <t>Big rocks, small roots</t>
  </si>
  <si>
    <t>Little vegetation, roots</t>
  </si>
  <si>
    <t>Roots, small pebbles</t>
  </si>
  <si>
    <t>Vegetation, roots, big and small rocks</t>
  </si>
  <si>
    <t>Lots of roots, big rock and lots of pebbles</t>
  </si>
  <si>
    <t>Lots of roots, very rocky</t>
  </si>
  <si>
    <t>Some vegetation, small roots, lots of pebbles</t>
  </si>
  <si>
    <t>Lots of small rocks, lots of roots, some vegetation</t>
  </si>
  <si>
    <t>Lots of pebbles, roots, vegetation</t>
  </si>
  <si>
    <t>Vegetation, pebbles, roots</t>
  </si>
  <si>
    <t>Pebbles, roots</t>
  </si>
  <si>
    <t>Gravel, small pebbles</t>
  </si>
  <si>
    <t>Lots of vegetation</t>
  </si>
  <si>
    <t>SOM</t>
  </si>
  <si>
    <t>Clumps, minor roots</t>
  </si>
  <si>
    <t>Rock, minor roots, clumps</t>
  </si>
  <si>
    <t>Minor gravel, clumps</t>
  </si>
  <si>
    <t>Lots of roots, clumpy, minor gravel</t>
  </si>
  <si>
    <t>Roots, high clumps</t>
  </si>
  <si>
    <t>Roots, minor gravel, minor vegetaton, clumps</t>
  </si>
  <si>
    <t>Minor roots, minor gravel, clumps</t>
  </si>
  <si>
    <t>Roots, minor vegetation, minor gravel, clumps</t>
  </si>
  <si>
    <t>Lots of roots, gravel, clumps</t>
  </si>
  <si>
    <t>Lots of roots, minor clumps, minor vegetation</t>
  </si>
  <si>
    <t>Vegetation, roots</t>
  </si>
  <si>
    <t>Lots of roots, clumps, minor gravel</t>
  </si>
  <si>
    <t>Very minor vegetation, roots, minor clumps</t>
  </si>
  <si>
    <t>Minor roots, vegetation, minor clumps</t>
  </si>
  <si>
    <t>Lots of gravel, high vegetation</t>
  </si>
  <si>
    <t>Hard to read handwriting for weight; will ask MT.</t>
  </si>
  <si>
    <t>Gravel, minor roots</t>
  </si>
  <si>
    <t>Rocks, gravel, minor roots</t>
  </si>
  <si>
    <t>Clumps, gravel, minor roots</t>
  </si>
  <si>
    <t>Clumps, minor gravel, rocks</t>
  </si>
  <si>
    <t>Minor clumps, minor roots, minor gravel</t>
  </si>
  <si>
    <t>Rocks, minor gravel, minor roots, minor clumps</t>
  </si>
  <si>
    <t>Some rocks, minor gravel, minor roots</t>
  </si>
  <si>
    <t>Some rocks, minor gravel, minor roots, some clumps</t>
  </si>
  <si>
    <t>Clumps, minor roots, gravel</t>
  </si>
  <si>
    <t>Roots, one rock, minor gravel, clumps</t>
  </si>
  <si>
    <t>Roots, vegetation, minor gravel</t>
  </si>
  <si>
    <t>Minor gravel, very minor roots, minor clumps</t>
  </si>
  <si>
    <t>Big rock, minor gravel</t>
  </si>
  <si>
    <t>Minor gravel, minor root</t>
  </si>
  <si>
    <t>Some rocks, minor gravel, minor root</t>
  </si>
  <si>
    <t>Big rocks, minor roots, minor gravel</t>
  </si>
  <si>
    <t>Rocks, minor clump, minor roots, minor gravel</t>
  </si>
  <si>
    <t>Big rock, minor roots, minor gravel</t>
  </si>
  <si>
    <t>Minor roots, minor clumps</t>
  </si>
  <si>
    <t>Roots, clumps, minor gravel</t>
  </si>
  <si>
    <t>Rocks, roots, gravel</t>
  </si>
  <si>
    <t>Minor clumps, minor gravel, minor roots</t>
  </si>
  <si>
    <t>Minor clumps, vegetation, rocks, minor gravel</t>
  </si>
  <si>
    <t>Dark, saturated, minor gravel, worm, roots</t>
  </si>
  <si>
    <t>Some pebbles and roots, very saturated</t>
  </si>
  <si>
    <t>Rocks, minor gravel, sandy, pebbles</t>
  </si>
  <si>
    <t>Saturated, sandy, minor gravel</t>
  </si>
  <si>
    <t>Saturated, soil aggregates, baby roots, minor gravel</t>
  </si>
  <si>
    <t>Sandy, minor roots, soil aggregates</t>
  </si>
  <si>
    <t>Minor rocks, minor gravel, sandy, baby roots, worm, soil aggreagates</t>
  </si>
  <si>
    <t>More sandy, pebbles, twigs, tiny roots</t>
  </si>
  <si>
    <t>Small/medium aggregates, small twigs</t>
  </si>
  <si>
    <t>Twigs and roots, minor gravel, soil aggregates</t>
  </si>
  <si>
    <t>Roots and gravel, soil aggregates</t>
  </si>
  <si>
    <t>Big rocks, small gravel, aggregates, roots</t>
  </si>
  <si>
    <t>Vegetation, roots, rocks, minor gravel</t>
  </si>
  <si>
    <t>Small aggregates, roots, vegetation</t>
  </si>
  <si>
    <t>Minor roots, aggregation, vegetation, minor gravel</t>
  </si>
  <si>
    <t>Big rocks and gravel, minor gravel, aggreagates</t>
  </si>
  <si>
    <t>Soil aggregates, minor gravel, roots, vegetation</t>
  </si>
  <si>
    <t>Drier, gravel, roots</t>
  </si>
  <si>
    <t>Gravel, aggregates, roots</t>
  </si>
  <si>
    <t>Very dirty, a lot of vegetation, minor gravel</t>
  </si>
  <si>
    <t>Minor gravel and roots</t>
  </si>
  <si>
    <t>Minor gravel, roots, minor aggregates</t>
  </si>
  <si>
    <t>Minor gravel, roots, minor aggregates, vegetation</t>
  </si>
  <si>
    <t>Hard to read the weight. No initials.</t>
  </si>
  <si>
    <t>Minor gravel, roots, aggregates</t>
  </si>
  <si>
    <t>Minor gravel, roots, aggregates, vegetation</t>
  </si>
  <si>
    <t>Minor gravel, roots, aggregates, vegetation, big rock</t>
  </si>
  <si>
    <t>Roots, aggregates, vegetation, big rock</t>
  </si>
  <si>
    <t>Mostly grass and fine soil, an ant</t>
  </si>
  <si>
    <t>Lab, Dry_Cap Height</t>
  </si>
  <si>
    <t xml:space="preserve">2.0; unconsolidated </t>
  </si>
  <si>
    <t>2.5; unconsolidated</t>
  </si>
  <si>
    <t>1; unconsolidated</t>
  </si>
  <si>
    <t>2; unconsolidated</t>
  </si>
  <si>
    <t>Root top, vegetation</t>
  </si>
  <si>
    <t>Lots of vegetation; lots of roots; gravel</t>
  </si>
  <si>
    <t>The Ring Size column indicated "Plunger, loose." Could I measure the plunger depth and assume that was the original height? No initials logged, but it looks like Molly G's handwriting.</t>
  </si>
  <si>
    <t>Will email Molly T. for clarification.</t>
  </si>
  <si>
    <t>No sample collected; lost to a malfunction with the metal rings.</t>
  </si>
  <si>
    <t>No cap height recorded in the field.</t>
  </si>
  <si>
    <t>Cap height recorded in the field was 8 cm for BOTH.</t>
  </si>
  <si>
    <t>Cap height recorded in the field was 7 cm for BOTH.</t>
  </si>
  <si>
    <t>Lost the first 2cm segment; no data; noticed lots of charcoal throughout the profile.</t>
  </si>
  <si>
    <t>No Field Weight recorded.</t>
  </si>
  <si>
    <t>Field weight was confirmed in the log, and dry lab weight was confirmed.</t>
  </si>
  <si>
    <t xml:space="preserve">Field weight was confirmed in the log, and dry lab weight was confirmed. </t>
  </si>
  <si>
    <t xml:space="preserve">Field weight was confirmed in the log, and dry lab weight was confirmed. Must have been recorded incorrectly in the field. This was Sample 18, and the recorded weight is 18 g. </t>
  </si>
  <si>
    <t xml:space="preserve">Field weight was confirmed in the log, and dry lab weight was confirmed. Must have been recorded incorrectly in the field. Given the dig location (near river) and recorded moisture level (Moist) and no indication that part of the sample was lost, this sample should weight more than 25 g. </t>
  </si>
  <si>
    <r>
      <t xml:space="preserve">Combined Sample Wt. </t>
    </r>
    <r>
      <rPr>
        <b/>
        <u/>
        <sz val="11"/>
        <color theme="1"/>
        <rFont val="Aptos Narrow"/>
        <family val="2"/>
        <scheme val="minor"/>
      </rPr>
      <t>in</t>
    </r>
    <r>
      <rPr>
        <b/>
        <sz val="11"/>
        <color theme="1"/>
        <rFont val="Aptos Narrow"/>
        <family val="2"/>
        <scheme val="minor"/>
      </rPr>
      <t xml:space="preserve"> Drying Vessel</t>
    </r>
  </si>
  <si>
    <t>2025-01</t>
  </si>
  <si>
    <t>2025-02</t>
  </si>
  <si>
    <t>2025-03</t>
  </si>
  <si>
    <t>2025-04</t>
  </si>
  <si>
    <t>2025-05</t>
  </si>
  <si>
    <t>2025-06</t>
  </si>
  <si>
    <t>2025-07</t>
  </si>
  <si>
    <t>2025-08</t>
  </si>
  <si>
    <t>2025-09</t>
  </si>
  <si>
    <t>SOM-TEX_GC Road_2025_11</t>
  </si>
  <si>
    <t>SOM-TEX_GC Road_2025_12</t>
  </si>
  <si>
    <t>SOM-TEX_GC Road_2025_13</t>
  </si>
  <si>
    <t>SOM-TEX_GC Road_2025_14</t>
  </si>
  <si>
    <t>SOM-TEX_GC Road_2025_15</t>
  </si>
  <si>
    <t>SOM-TEX_GC Road_2025_16</t>
  </si>
  <si>
    <t>SOM-TEX_GC Road_2025_17</t>
  </si>
  <si>
    <t>SOM-TEX_GC Road_2025_18</t>
  </si>
  <si>
    <t>SOM-TEX_GC Road_2025_19</t>
  </si>
  <si>
    <t>SOM-TEX_GC Road_2025_20</t>
  </si>
  <si>
    <t>SOM-TEX_GC Road_2025_21</t>
  </si>
  <si>
    <t>SOM-TEX_GC 6.5_2025_11</t>
  </si>
  <si>
    <t>SOM-TEX_GC 6.5_2025_12</t>
  </si>
  <si>
    <t>SOM-TEX_GC 6.5_2025_13</t>
  </si>
  <si>
    <t>SOM-TEX_GC 6.5_2025_14</t>
  </si>
  <si>
    <t>SOM-TEX_GC 6.5_2025_15</t>
  </si>
  <si>
    <t>SOM-TEX_GC 6.5_2025_16</t>
  </si>
  <si>
    <t>SOM-TEX_GC 6.5_2025_17</t>
  </si>
  <si>
    <t>SOM-TEX_GC 6.5_2025_18</t>
  </si>
  <si>
    <t>SOM-TEX_GC 6.5_2025_19</t>
  </si>
  <si>
    <t>SOM-TEX_GC 6.5_2025_20</t>
  </si>
  <si>
    <t>SOM-TEX_GC 6.5_2025_21</t>
  </si>
  <si>
    <t>SOM-TEX_GC 26_2025_11</t>
  </si>
  <si>
    <t>SOM-TEX_GC 26_2025_12</t>
  </si>
  <si>
    <t>SOM-TEX_GC 26_2025_13</t>
  </si>
  <si>
    <t>SOM-TEX_GC 26_2025_14</t>
  </si>
  <si>
    <t>SOM-TEX_GC 26_2025_15</t>
  </si>
  <si>
    <t>SOM-TEX_GC 26_2025_16</t>
  </si>
  <si>
    <t>SOM-TEX_GC 26_2025_17</t>
  </si>
  <si>
    <t>SOM-TEX_GC 26_2025_18</t>
  </si>
  <si>
    <t>SOM-TEX_GC 26_2025_19</t>
  </si>
  <si>
    <t>SOM-TEX_GC 26_2025_20</t>
  </si>
  <si>
    <t>SOM-TEX_GC 26_2025_21</t>
  </si>
  <si>
    <t>SOM-TEX_GC 65_2025_11</t>
  </si>
  <si>
    <t>SOM-TEX_GC 65_2025_12</t>
  </si>
  <si>
    <t>SOM-TEX_GC 65_2025_13</t>
  </si>
  <si>
    <t>SOM-TEX_GC 65_2025_14</t>
  </si>
  <si>
    <t>SOM-TEX_GC 65_2025_15</t>
  </si>
  <si>
    <t>SOM-TEX_GC 65_2025_16</t>
  </si>
  <si>
    <t>SOM-TEX_GC 65_2025_17</t>
  </si>
  <si>
    <t>SOM-TEX_GC 65_2025_18</t>
  </si>
  <si>
    <t>SOM-TEX_GC 65_2025_19</t>
  </si>
  <si>
    <t>SOM-TEX_GC 65_2025_20</t>
  </si>
  <si>
    <t>SOM-TEX_GC 65_2025_21</t>
  </si>
  <si>
    <t>SOM-TEX_GC 130_2025_11</t>
  </si>
  <si>
    <t>SOM-TEX_GC 130_2025_12</t>
  </si>
  <si>
    <t>SOM-TEX_GC 130_2025_13</t>
  </si>
  <si>
    <t>SOM-TEX_GC 130_2025_14</t>
  </si>
  <si>
    <t>SOM-TEX_GC 130_2025_15</t>
  </si>
  <si>
    <t>SOM-TEX_GC 130_2025_16</t>
  </si>
  <si>
    <t>SOM-TEX_GC 130_2025_17</t>
  </si>
  <si>
    <t>SOM-TEX_GC 130_2025_18</t>
  </si>
  <si>
    <t>SOM-TEX_GC 130_2025_19</t>
  </si>
  <si>
    <t>SOM-TEX_GC 130_2025_20</t>
  </si>
  <si>
    <t>SOM-TEX_GC 130_2025_21</t>
  </si>
  <si>
    <t>SOM-TEX_GC Road_2025_09-10</t>
  </si>
  <si>
    <t>SOM-TEX_GC Road_2025_07-08</t>
  </si>
  <si>
    <t>SOM-TEX_GC Road_2025_05-06</t>
  </si>
  <si>
    <t>SOM-TEX_GC Road_2025_03-04</t>
  </si>
  <si>
    <t>SOM-TEX_GC Road_2025_01-02</t>
  </si>
  <si>
    <t>SOM-TEX_GC 6.5_2025_01-02</t>
  </si>
  <si>
    <t>SOM-TEX_GC 26_2025_01-02</t>
  </si>
  <si>
    <t>SOM-TEX_GC 65_2025_01-02</t>
  </si>
  <si>
    <t>SOM-TEX_GC 130_2025_01-02</t>
  </si>
  <si>
    <t>SOM-TEX_GC 6.5_2025_03-04</t>
  </si>
  <si>
    <t>SOM-TEX_GC 6.5_2025_05-06</t>
  </si>
  <si>
    <t>SOM-TEX_GC 6.5_2025_07-08</t>
  </si>
  <si>
    <t>SOM-TEX_GC 6.5_2025_09-10</t>
  </si>
  <si>
    <t>SOM-TEX_GC 26_2025_03-04</t>
  </si>
  <si>
    <t>SOM-TEX_GC 26_2025_05-06</t>
  </si>
  <si>
    <t>SOM-TEX_GC 26_2025_07-08</t>
  </si>
  <si>
    <t>SOM-TEX_GC 26_2025_09-10</t>
  </si>
  <si>
    <t>SOM-TEX_GC 65_2025_03-04</t>
  </si>
  <si>
    <t>SOM-TEX_GC 65_2025_05-06</t>
  </si>
  <si>
    <t>SOM-TEX_GC 65_2025_07-08</t>
  </si>
  <si>
    <t>SOM-TEX_GC 65_2025_09-10</t>
  </si>
  <si>
    <t>SOM-TEX_GC 130_2025_03-04</t>
  </si>
  <si>
    <t>SOM-TEX_GC 130_2025_05-06</t>
  </si>
  <si>
    <t>SOM-TEX_GC 130_2025_07-08</t>
  </si>
  <si>
    <t>SOM-TEX_GC 130_2025_09-10</t>
  </si>
  <si>
    <t>field_ring_size_cm</t>
  </si>
  <si>
    <t>field_depth_range_cm</t>
  </si>
  <si>
    <t>field_weight_g</t>
  </si>
  <si>
    <t>field_notes</t>
  </si>
  <si>
    <t>lab_wet_subsample_wt_in_storage_vessel_g</t>
  </si>
  <si>
    <t>lab_wet_storage_vessel_wt_g</t>
  </si>
  <si>
    <t>lab_wet_subsample_wt_excl_storage_vessel_wt_g</t>
  </si>
  <si>
    <t>lab_dry_subsample_wt_in_drying_vessel_g</t>
  </si>
  <si>
    <t>lab_dry_cap_height</t>
  </si>
  <si>
    <t>overall_notes</t>
  </si>
  <si>
    <t>DIA_GC 130_2025_01-02</t>
  </si>
  <si>
    <t>DIA_GC 130_2025_03-04</t>
  </si>
  <si>
    <t>DIA_GC 130_2025_05-06</t>
  </si>
  <si>
    <t>DIA_GC 130_2025_07-08</t>
  </si>
  <si>
    <t>DIA_GC 130_2025_09-10</t>
  </si>
  <si>
    <t>DIA_GC 130_2025_11</t>
  </si>
  <si>
    <t>DIA_GC 130_2025_12</t>
  </si>
  <si>
    <t>DIA_GC 130_2025_13</t>
  </si>
  <si>
    <t>DIA_GC 130_2025_14</t>
  </si>
  <si>
    <t>DIA_GC 130_2025_15</t>
  </si>
  <si>
    <t>DIA_GC 130_2025_16</t>
  </si>
  <si>
    <t>DIA_GC 130_2025_17</t>
  </si>
  <si>
    <t>DIA_GC 130_2025_18</t>
  </si>
  <si>
    <t>DIA_GC 130_2025_19</t>
  </si>
  <si>
    <t>DIA_GC 130_2025_20</t>
  </si>
  <si>
    <t>DIA_GC 130_2025_21</t>
  </si>
  <si>
    <t>DIA_GC 65_2025_01-02</t>
  </si>
  <si>
    <t>DIA_GC 65_2025_03-04</t>
  </si>
  <si>
    <t>DIA_GC 65_2025_05-06</t>
  </si>
  <si>
    <t>DIA_GC 65_2025_07-08</t>
  </si>
  <si>
    <t>DIA_GC 65_2025_09-10</t>
  </si>
  <si>
    <t>DIA_GC 65_2025_11</t>
  </si>
  <si>
    <t>DIA_GC 65_2025_12</t>
  </si>
  <si>
    <t>DIA_GC 65_2025_13</t>
  </si>
  <si>
    <t>DIA_GC 65_2025_14</t>
  </si>
  <si>
    <t>DIA_GC 65_2025_15</t>
  </si>
  <si>
    <t>DIA_GC 65_2025_16</t>
  </si>
  <si>
    <t>DIA_GC 65_2025_17</t>
  </si>
  <si>
    <t>DIA_GC 65_2025_18</t>
  </si>
  <si>
    <t>DIA_GC 65_2025_19</t>
  </si>
  <si>
    <t>DIA_GC 65_2025_20</t>
  </si>
  <si>
    <t>DIA_GC 65_2025_21</t>
  </si>
  <si>
    <t>DIA_GC 26_2025_01-02</t>
  </si>
  <si>
    <t>DIA_GC 26_2025_03-04</t>
  </si>
  <si>
    <t>DIA_GC 26_2025_05-06</t>
  </si>
  <si>
    <t>DIA_GC 26_2025_07-08</t>
  </si>
  <si>
    <t>DIA_GC 26_2025_09-10</t>
  </si>
  <si>
    <t>DIA_GC 26_2025_11</t>
  </si>
  <si>
    <t>DIA_GC 26_2025_12</t>
  </si>
  <si>
    <t>DIA_GC 26_2025_13</t>
  </si>
  <si>
    <t>DIA_GC 26_2025_14</t>
  </si>
  <si>
    <t>DIA_GC 26_2025_15</t>
  </si>
  <si>
    <t>DIA_GC 26_2025_16</t>
  </si>
  <si>
    <t>DIA_GC 26_2025_17</t>
  </si>
  <si>
    <t>DIA_GC 26_2025_18</t>
  </si>
  <si>
    <t>DIA_GC 26_2025_19</t>
  </si>
  <si>
    <t>DIA_GC 26_2025_20</t>
  </si>
  <si>
    <t>DIA_GC 26_2025_21</t>
  </si>
  <si>
    <t>DIA_GC 6.5_2025_01-02</t>
  </si>
  <si>
    <t>DIA_GC 6.5_2025_03-04</t>
  </si>
  <si>
    <t>DIA_GC 6.5_2025_05-06</t>
  </si>
  <si>
    <t>DIA_GC 6.5_2025_07-08</t>
  </si>
  <si>
    <t>DIA_GC 6.5_2025_09-10</t>
  </si>
  <si>
    <t>DIA_GC 6.5_2025_11</t>
  </si>
  <si>
    <t>DIA_GC 6.5_2025_12</t>
  </si>
  <si>
    <t>DIA_GC 6.5_2025_13</t>
  </si>
  <si>
    <t>DIA_GC 6.5_2025_14</t>
  </si>
  <si>
    <t>DIA_GC 6.5_2025_15</t>
  </si>
  <si>
    <t>DIA_GC 6.5_2025_16</t>
  </si>
  <si>
    <t>DIA_GC 6.5_2025_17</t>
  </si>
  <si>
    <t>DIA_GC 6.5_2025_18</t>
  </si>
  <si>
    <t>DIA_GC 6.5_2025_19</t>
  </si>
  <si>
    <t>DIA_GC 6.5_2025_20</t>
  </si>
  <si>
    <t>DIA_GC 6.5_2025_21</t>
  </si>
  <si>
    <t>DIA_GC Road_2025_01-02</t>
  </si>
  <si>
    <t>DIA_GC Road_2025_03-04</t>
  </si>
  <si>
    <t>DIA_GC Road_2025_05-06</t>
  </si>
  <si>
    <t>DIA_GC Road_2025_07-08</t>
  </si>
  <si>
    <t>DIA_GC Road_2025_09-10</t>
  </si>
  <si>
    <t>DIA_GC Road_2025_11</t>
  </si>
  <si>
    <t>DIA_GC Road_2025_12</t>
  </si>
  <si>
    <t>DIA_GC Road_2025_13</t>
  </si>
  <si>
    <t>DIA_GC Road_2025_14</t>
  </si>
  <si>
    <t>DIA_GC Road_2025_15</t>
  </si>
  <si>
    <t>DIA_GC Road_2025_16</t>
  </si>
  <si>
    <t>DIA_GC Road_2025_17</t>
  </si>
  <si>
    <t>DIA_GC Road_2025_18</t>
  </si>
  <si>
    <t>DIA_GC Road_2025_19</t>
  </si>
  <si>
    <t>DIA_GC Road_2025_20</t>
  </si>
  <si>
    <t>DIA_GC Road_2025_21</t>
  </si>
  <si>
    <t>FTIR_GC 130_2025_01-02</t>
  </si>
  <si>
    <t>FTIR_GC Road_2025_01-02</t>
  </si>
  <si>
    <t>FTIR_GC Road_2025_03-04</t>
  </si>
  <si>
    <t>FTIR_GC Road_2025_05-06</t>
  </si>
  <si>
    <t>FTIR_GC Road_2025_07-08</t>
  </si>
  <si>
    <t>FTIR_GC Road_2025_09-10</t>
  </si>
  <si>
    <t>FTIR_GC Road_2025_11</t>
  </si>
  <si>
    <t>FTIR_GC Road_2025_12</t>
  </si>
  <si>
    <t>FTIR_GC Road_2025_13</t>
  </si>
  <si>
    <t>FTIR_GC Road_2025_14</t>
  </si>
  <si>
    <t>FTIR_GC Road_2025_15</t>
  </si>
  <si>
    <t>FTIR_GC Road_2025_16</t>
  </si>
  <si>
    <t>FTIR_GC Road_2025_17</t>
  </si>
  <si>
    <t>FTIR_GC Road_2025_18</t>
  </si>
  <si>
    <t>FTIR_GC Road_2025_19</t>
  </si>
  <si>
    <t>FTIR_GC Road_2025_20</t>
  </si>
  <si>
    <t>FTIR_GC Road_2025_21</t>
  </si>
  <si>
    <t>FTIR_GC 6.5_2025_01-02</t>
  </si>
  <si>
    <t>FTIR_GC 6.5_2025_03-04</t>
  </si>
  <si>
    <t>FTIR_GC 6.5_2025_05-06</t>
  </si>
  <si>
    <t>FTIR_GC 6.5_2025_07-08</t>
  </si>
  <si>
    <t>FTIR_GC 6.5_2025_09-10</t>
  </si>
  <si>
    <t>FTIR_GC 6.5_2025_11</t>
  </si>
  <si>
    <t>FTIR_GC 6.5_2025_12</t>
  </si>
  <si>
    <t>FTIR_GC 6.5_2025_13</t>
  </si>
  <si>
    <t>FTIR_GC 6.5_2025_14</t>
  </si>
  <si>
    <t>FTIR_GC 6.5_2025_15</t>
  </si>
  <si>
    <t>FTIR_GC 6.5_2025_16</t>
  </si>
  <si>
    <t>FTIR_GC 6.5_2025_17</t>
  </si>
  <si>
    <t>FTIR_GC 6.5_2025_18</t>
  </si>
  <si>
    <t>FTIR_GC 6.5_2025_19</t>
  </si>
  <si>
    <t>FTIR_GC 6.5_2025_20</t>
  </si>
  <si>
    <t>FTIR_GC 6.5_2025_21</t>
  </si>
  <si>
    <t>FTIR_GC 26_2025_01-02</t>
  </si>
  <si>
    <t>FTIR_GC 26_2025_03-04</t>
  </si>
  <si>
    <t>FTIR_GC 26_2025_05-06</t>
  </si>
  <si>
    <t>FTIR_GC 26_2025_07-08</t>
  </si>
  <si>
    <t>FTIR_GC 26_2025_09-10</t>
  </si>
  <si>
    <t>FTIR_GC 26_2025_11</t>
  </si>
  <si>
    <t>FTIR_GC 26_2025_12</t>
  </si>
  <si>
    <t>FTIR_GC 26_2025_13</t>
  </si>
  <si>
    <t>FTIR_GC 26_2025_14</t>
  </si>
  <si>
    <t>FTIR_GC 26_2025_15</t>
  </si>
  <si>
    <t>FTIR_GC 26_2025_16</t>
  </si>
  <si>
    <t>FTIR_GC 26_2025_17</t>
  </si>
  <si>
    <t>FTIR_GC 26_2025_18</t>
  </si>
  <si>
    <t>FTIR_GC 26_2025_19</t>
  </si>
  <si>
    <t>FTIR_GC 26_2025_20</t>
  </si>
  <si>
    <t>FTIR_GC 26_2025_21</t>
  </si>
  <si>
    <t>FTIR_GC 65_2025_01-02</t>
  </si>
  <si>
    <t>FTIR_GC 65_2025_03-04</t>
  </si>
  <si>
    <t>FTIR_GC 65_2025_05-06</t>
  </si>
  <si>
    <t>FTIR_GC 65_2025_07-08</t>
  </si>
  <si>
    <t>FTIR_GC 65_2025_09-10</t>
  </si>
  <si>
    <t>FTIR_GC 65_2025_11</t>
  </si>
  <si>
    <t>FTIR_GC 65_2025_12</t>
  </si>
  <si>
    <t>FTIR_GC 65_2025_13</t>
  </si>
  <si>
    <t>FTIR_GC 65_2025_14</t>
  </si>
  <si>
    <t>FTIR_GC 65_2025_15</t>
  </si>
  <si>
    <t>FTIR_GC 65_2025_16</t>
  </si>
  <si>
    <t>FTIR_GC 65_2025_17</t>
  </si>
  <si>
    <t>FTIR_GC 65_2025_18</t>
  </si>
  <si>
    <t>FTIR_GC 65_2025_19</t>
  </si>
  <si>
    <t>FTIR_GC 65_2025_20</t>
  </si>
  <si>
    <t>FTIR_GC 65_2025_21</t>
  </si>
  <si>
    <t>FTIR_GC 130_2025_03-04</t>
  </si>
  <si>
    <t>FTIR_GC 130_2025_05-06</t>
  </si>
  <si>
    <t>FTIR_GC 130_2025_07-08</t>
  </si>
  <si>
    <t>FTIR_GC 130_2025_09-10</t>
  </si>
  <si>
    <t>FTIR_GC 130_2025_11</t>
  </si>
  <si>
    <t>FTIR_GC 130_2025_12</t>
  </si>
  <si>
    <t>FTIR_GC 130_2025_13</t>
  </si>
  <si>
    <t>FTIR_GC 130_2025_14</t>
  </si>
  <si>
    <t>FTIR_GC 130_2025_15</t>
  </si>
  <si>
    <t>FTIR_GC 130_2025_16</t>
  </si>
  <si>
    <t>FTIR_GC 130_2025_17</t>
  </si>
  <si>
    <t>FTIR_GC 130_2025_18</t>
  </si>
  <si>
    <t>FTIR_GC 130_2025_19</t>
  </si>
  <si>
    <t>FTIR_GC 130_2025_20</t>
  </si>
  <si>
    <t>FTIR_GC 130_2025_21</t>
  </si>
  <si>
    <t>lab_dry_new_sample_storage vessel_wt_g</t>
  </si>
  <si>
    <t>lab_dry_new_sample_post-sieve_wt_in_storage_vessel_g</t>
  </si>
  <si>
    <t>lab_dry_new_sample_post-disaggregation_wt_excl_storage_vessel_wt_g</t>
  </si>
  <si>
    <t>lab_dry_new_sample_post-disaggregation_wt_in_storage_vessel_g</t>
  </si>
  <si>
    <t>lab_dry_new_sample_post-sieve_wt_excl_storage_vessel_wt_g</t>
  </si>
  <si>
    <t>lab_dry_new_sample_post-sieve_amt_removed_for_cnanalysis_g</t>
  </si>
  <si>
    <t>result_carbonate_fizz_test</t>
  </si>
  <si>
    <t>Negative</t>
  </si>
  <si>
    <t>new_sample_id</t>
  </si>
  <si>
    <t>Additional 6 g removed from total; used material for testing pH ratios.</t>
  </si>
  <si>
    <t>test</t>
  </si>
  <si>
    <t>core</t>
  </si>
  <si>
    <t>sample</t>
  </si>
  <si>
    <t>collection_dt</t>
  </si>
  <si>
    <t>Wt_10_min_g</t>
  </si>
  <si>
    <t>Wt_15_min_g</t>
  </si>
  <si>
    <t>Wt_17_min_g</t>
  </si>
  <si>
    <t>Wt_19_min_g</t>
  </si>
  <si>
    <t>Wt_21_min_g</t>
  </si>
  <si>
    <t>Wt_23_min_g</t>
  </si>
  <si>
    <t>Wt_25_min_g</t>
  </si>
  <si>
    <t>DIA_GC_6.5_2025_9-10</t>
  </si>
  <si>
    <t>DIA_GC_6.5_2025_11</t>
  </si>
  <si>
    <t>interval_time</t>
  </si>
  <si>
    <t>power</t>
  </si>
  <si>
    <t>pause_time</t>
  </si>
  <si>
    <t>55 sec</t>
  </si>
  <si>
    <t>5 sec</t>
  </si>
  <si>
    <t>DIA_GC_26_2025_9-10</t>
  </si>
  <si>
    <t>DIA_GC_26_2025_11</t>
  </si>
  <si>
    <t>Minus wt. of collection tray (g)</t>
  </si>
  <si>
    <t>field_desc_soil_moisture</t>
  </si>
  <si>
    <t xml:space="preserve">lab_wet_drying_vessle_wt_g </t>
  </si>
  <si>
    <t>lab_dry_subsample_wt_excl_drying_vessel_wt_g</t>
  </si>
  <si>
    <t>ph_1-2_di_h2o</t>
  </si>
  <si>
    <t>ece</t>
  </si>
  <si>
    <t>ec_1-2_di_h2o_micromho</t>
  </si>
  <si>
    <t>sample_id</t>
  </si>
  <si>
    <t>oven_sample_id</t>
  </si>
  <si>
    <t>wt_sample_wet_g</t>
  </si>
  <si>
    <t>wt_foil_g</t>
  </si>
  <si>
    <t>wt_sample_dry_g</t>
  </si>
  <si>
    <t>wt_texture_g</t>
  </si>
  <si>
    <t>texture_2_hr</t>
  </si>
  <si>
    <t>Large rock that spanned four samples. Diameter ~8 cm.</t>
  </si>
  <si>
    <t>true_soil_moisture_perc</t>
  </si>
  <si>
    <t>time_texture_40_s</t>
  </si>
  <si>
    <t>time_texture_2_hr</t>
  </si>
  <si>
    <t>dt_collected</t>
  </si>
  <si>
    <t>texture_40_s_orig</t>
  </si>
  <si>
    <t>texture_40_s_blank</t>
  </si>
  <si>
    <t>texture_40_s_corrected</t>
  </si>
  <si>
    <t>texture_2_hr_corrected</t>
  </si>
  <si>
    <t>silt_clay_%_40_s</t>
  </si>
  <si>
    <t>wt_sample_dry_in_foil_g</t>
  </si>
  <si>
    <t>texture_2_hr_blank</t>
  </si>
  <si>
    <t>scale_factor</t>
  </si>
  <si>
    <t>clay_%_2_hr</t>
  </si>
  <si>
    <t>sand_%</t>
  </si>
  <si>
    <t>silt_%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</si>
</sst>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400]h:mm:ss\ AM/PM"/>
  </numFmts>
  <fonts count="15" x14ac:knownFonts="1">
    <font>
      <sz val="11"/>
      <color theme="1"/>
      <name val="Aptos Narrow"/>
      <family val="2"/>
      <scheme val="minor"/>
    </font>
    <font>
      <b/>
      <sz val="11"/>
      <color theme="1"/>
      <name val="Aptos Narrow"/>
      <family val="2"/>
      <scheme val="minor"/>
    </font>
    <font>
      <sz val="8"/>
      <name val="Aptos Narrow"/>
      <family val="2"/>
      <scheme val="minor"/>
    </font>
    <font>
      <b/>
      <u/>
      <sz val="11"/>
      <color theme="1"/>
      <name val="Aptos Narrow"/>
      <family val="2"/>
      <scheme val="minor"/>
    </font>
    <font>
      <i/>
      <sz val="9"/>
      <color theme="1"/>
      <name val="Aptos Narrow"/>
      <family val="2"/>
      <scheme val="minor"/>
    </font>
    <font>
      <b/>
      <i/>
      <sz val="11"/>
      <color theme="1"/>
      <name val="Aptos Narrow"/>
      <family val="2"/>
      <scheme val="minor"/>
    </font>
    <font>
      <i/>
      <sz val="10"/>
      <color theme="1"/>
      <name val="Aptos Narrow"/>
      <family val="2"/>
      <scheme val="minor"/>
    </font>
    <font>
      <b/>
      <sz val="14"/>
      <color theme="1"/>
      <name val="Aptos Narrow"/>
      <family val="2"/>
      <scheme val="minor"/>
    </font>
    <font>
      <sz val="11"/>
      <color rgb="FFFF0000"/>
      <name val="Aptos Narrow"/>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i/>
      <sz val="11"/>
      <color theme="1"/>
      <name val="Aptos Narrow"/>
      <family val="2"/>
      <scheme val="minor"/>
    </font>
    <font>
      <sz val="11"/>
      <color theme="1"/>
      <name val="Aptos Narrow"/>
      <family val="2"/>
      <scheme val="minor"/>
    </font>
  </fonts>
  <fills count="11">
    <fill>
      <patternFill patternType="none"/>
    </fill>
    <fill>
      <patternFill patternType="gray125"/>
    </fill>
    <fill>
      <patternFill patternType="solid">
        <fgColor theme="7"/>
        <bgColor indexed="64"/>
      </patternFill>
    </fill>
    <fill>
      <patternFill patternType="solid">
        <fgColor theme="7" tint="0.79998168889431442"/>
        <bgColor indexed="64"/>
      </patternFill>
    </fill>
    <fill>
      <patternFill patternType="solid">
        <fgColor theme="9"/>
        <bgColor indexed="64"/>
      </patternFill>
    </fill>
    <fill>
      <patternFill patternType="solid">
        <fgColor theme="9"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8"/>
        <bgColor indexed="64"/>
      </patternFill>
    </fill>
    <fill>
      <patternFill patternType="solid">
        <fgColor theme="8" tint="0.79998168889431442"/>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s>
  <cellStyleXfs count="2">
    <xf numFmtId="0" fontId="0" fillId="0" borderId="0"/>
    <xf numFmtId="9" fontId="14" fillId="0" borderId="0" applyFont="0" applyFill="0" applyBorder="0" applyAlignment="0" applyProtection="0"/>
  </cellStyleXfs>
  <cellXfs count="103">
    <xf numFmtId="0" fontId="0" fillId="0" borderId="0" xfId="0"/>
    <xf numFmtId="0" fontId="1" fillId="0" borderId="0" xfId="0" applyFont="1" applyAlignment="1">
      <alignment horizontal="left" vertical="top" wrapText="1"/>
    </xf>
    <xf numFmtId="49"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applyAlignment="1">
      <alignment horizontal="left" vertical="top" wrapText="1"/>
    </xf>
    <xf numFmtId="0" fontId="1" fillId="0" borderId="1" xfId="0" applyFont="1" applyBorder="1" applyAlignment="1">
      <alignment horizontal="left" vertical="top" wrapText="1"/>
    </xf>
    <xf numFmtId="0" fontId="1" fillId="3"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1" fillId="9" borderId="1" xfId="0" applyFont="1" applyFill="1" applyBorder="1" applyAlignment="1">
      <alignment horizontal="left" vertical="top" wrapText="1"/>
    </xf>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49" fontId="0" fillId="0" borderId="3" xfId="0" applyNumberFormat="1" applyBorder="1" applyAlignment="1">
      <alignment horizontal="left" vertical="top" wrapText="1"/>
    </xf>
    <xf numFmtId="49" fontId="0" fillId="0" borderId="2" xfId="0" applyNumberFormat="1" applyBorder="1" applyAlignment="1">
      <alignment horizontal="left" vertical="top" wrapText="1"/>
    </xf>
    <xf numFmtId="0" fontId="7" fillId="0" borderId="0" xfId="0" applyFont="1" applyAlignment="1">
      <alignment horizontal="left" vertical="top"/>
    </xf>
    <xf numFmtId="49" fontId="7" fillId="0" borderId="0" xfId="0" applyNumberFormat="1" applyFont="1" applyAlignment="1">
      <alignment horizontal="left" vertical="top"/>
    </xf>
    <xf numFmtId="0" fontId="1" fillId="5" borderId="1" xfId="0" applyFont="1" applyFill="1" applyBorder="1" applyAlignment="1">
      <alignment horizontal="left" vertical="top" wrapText="1"/>
    </xf>
    <xf numFmtId="0" fontId="0" fillId="0" borderId="0" xfId="0" applyAlignment="1">
      <alignment horizontal="left" vertical="top"/>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0" fillId="0" borderId="4" xfId="0" applyBorder="1" applyAlignment="1">
      <alignment horizontal="left" vertical="top" wrapText="1"/>
    </xf>
    <xf numFmtId="14" fontId="0" fillId="0" borderId="1" xfId="0" applyNumberFormat="1" applyBorder="1" applyAlignment="1">
      <alignment horizontal="left" vertical="top" wrapText="1"/>
    </xf>
    <xf numFmtId="14" fontId="0" fillId="0" borderId="2" xfId="0" applyNumberFormat="1" applyBorder="1" applyAlignment="1">
      <alignment horizontal="left" vertical="top" wrapText="1"/>
    </xf>
    <xf numFmtId="14" fontId="0" fillId="0" borderId="3" xfId="0" applyNumberFormat="1" applyBorder="1" applyAlignment="1">
      <alignment horizontal="left" vertical="top" wrapText="1"/>
    </xf>
    <xf numFmtId="49" fontId="1" fillId="5" borderId="1" xfId="0" applyNumberFormat="1" applyFont="1" applyFill="1" applyBorder="1" applyAlignment="1">
      <alignment horizontal="left" vertical="top" wrapText="1"/>
    </xf>
    <xf numFmtId="0" fontId="0" fillId="0" borderId="9" xfId="0" applyBorder="1" applyAlignment="1">
      <alignment horizontal="left" vertical="top" wrapText="1"/>
    </xf>
    <xf numFmtId="49" fontId="0" fillId="0" borderId="9" xfId="0" applyNumberFormat="1" applyBorder="1" applyAlignment="1">
      <alignment horizontal="left" vertical="top" wrapText="1"/>
    </xf>
    <xf numFmtId="0" fontId="0" fillId="0" borderId="8" xfId="0" applyBorder="1" applyAlignment="1">
      <alignment horizontal="left" vertical="top" wrapText="1"/>
    </xf>
    <xf numFmtId="0" fontId="0" fillId="0" borderId="1" xfId="0" quotePrefix="1" applyBorder="1" applyAlignment="1">
      <alignment horizontal="left" vertical="top" wrapText="1"/>
    </xf>
    <xf numFmtId="0" fontId="1" fillId="0" borderId="0" xfId="0" applyFont="1" applyAlignment="1">
      <alignment horizontal="left" vertical="top"/>
    </xf>
    <xf numFmtId="0" fontId="8" fillId="0" borderId="1" xfId="0" applyFont="1" applyBorder="1" applyAlignment="1">
      <alignment horizontal="left" vertical="top" wrapText="1"/>
    </xf>
    <xf numFmtId="0" fontId="1" fillId="8" borderId="1" xfId="0" applyFont="1" applyFill="1" applyBorder="1" applyAlignment="1">
      <alignment horizontal="left" vertical="top" wrapText="1"/>
    </xf>
    <xf numFmtId="0" fontId="1" fillId="0" borderId="4" xfId="0" applyFont="1" applyBorder="1" applyAlignment="1">
      <alignment horizontal="left" vertical="top" wrapText="1"/>
    </xf>
    <xf numFmtId="49" fontId="0" fillId="0" borderId="4" xfId="0" applyNumberFormat="1" applyBorder="1" applyAlignment="1">
      <alignment horizontal="left" vertical="top" wrapText="1"/>
    </xf>
    <xf numFmtId="0" fontId="0" fillId="0" borderId="10" xfId="0" applyBorder="1" applyAlignment="1">
      <alignment horizontal="left" vertical="top" wrapText="1"/>
    </xf>
    <xf numFmtId="0" fontId="0" fillId="7" borderId="2" xfId="0" applyFill="1" applyBorder="1" applyAlignment="1">
      <alignment horizontal="left" vertical="top" wrapText="1"/>
    </xf>
    <xf numFmtId="0" fontId="0" fillId="7" borderId="1" xfId="0" applyFill="1" applyBorder="1" applyAlignment="1">
      <alignment horizontal="left" vertical="top" wrapText="1"/>
    </xf>
    <xf numFmtId="164" fontId="0" fillId="0" borderId="1" xfId="0" applyNumberFormat="1" applyBorder="1" applyAlignment="1">
      <alignment horizontal="right" vertical="top" wrapText="1"/>
    </xf>
    <xf numFmtId="164" fontId="0" fillId="7" borderId="1" xfId="0" applyNumberFormat="1" applyFill="1" applyBorder="1" applyAlignment="1">
      <alignment horizontal="right" vertical="top" wrapText="1"/>
    </xf>
    <xf numFmtId="164" fontId="0" fillId="0" borderId="3" xfId="0" applyNumberFormat="1" applyBorder="1" applyAlignment="1">
      <alignment horizontal="right" vertical="top" wrapText="1"/>
    </xf>
    <xf numFmtId="164" fontId="0" fillId="0" borderId="2" xfId="0" applyNumberFormat="1" applyBorder="1" applyAlignment="1">
      <alignment horizontal="right" vertical="top" wrapText="1"/>
    </xf>
    <xf numFmtId="14" fontId="0" fillId="0" borderId="4" xfId="0" applyNumberFormat="1" applyBorder="1" applyAlignment="1">
      <alignment horizontal="left" vertical="top" wrapText="1"/>
    </xf>
    <xf numFmtId="164" fontId="0" fillId="0" borderId="4" xfId="0" applyNumberFormat="1" applyBorder="1" applyAlignment="1">
      <alignment horizontal="right" vertical="top" wrapText="1"/>
    </xf>
    <xf numFmtId="0" fontId="1" fillId="0" borderId="11" xfId="0" applyFont="1" applyBorder="1" applyAlignment="1">
      <alignment horizontal="left" vertical="top" wrapText="1"/>
    </xf>
    <xf numFmtId="0" fontId="0" fillId="0" borderId="11" xfId="0" applyBorder="1" applyAlignment="1">
      <alignment horizontal="left" vertical="top" wrapText="1"/>
    </xf>
    <xf numFmtId="14" fontId="0" fillId="0" borderId="11" xfId="0" applyNumberFormat="1" applyBorder="1" applyAlignment="1">
      <alignment horizontal="left" vertical="top" wrapText="1"/>
    </xf>
    <xf numFmtId="49" fontId="0" fillId="0" borderId="11" xfId="0" applyNumberFormat="1" applyBorder="1" applyAlignment="1">
      <alignment horizontal="left" vertical="top" wrapText="1"/>
    </xf>
    <xf numFmtId="164" fontId="0" fillId="0" borderId="11" xfId="0" applyNumberFormat="1" applyBorder="1" applyAlignment="1">
      <alignment horizontal="right" vertical="top" wrapText="1"/>
    </xf>
    <xf numFmtId="0" fontId="0" fillId="0" borderId="12" xfId="0" applyBorder="1" applyAlignment="1">
      <alignment horizontal="left" vertical="top" wrapText="1"/>
    </xf>
    <xf numFmtId="164" fontId="0" fillId="7" borderId="2" xfId="0" applyNumberFormat="1" applyFill="1" applyBorder="1" applyAlignment="1">
      <alignment horizontal="right" vertical="top" wrapText="1"/>
    </xf>
    <xf numFmtId="164" fontId="0" fillId="7" borderId="3" xfId="0" applyNumberFormat="1" applyFill="1" applyBorder="1" applyAlignment="1">
      <alignment horizontal="right" vertical="top" wrapText="1"/>
    </xf>
    <xf numFmtId="164" fontId="0" fillId="0" borderId="3" xfId="0" applyNumberFormat="1" applyBorder="1" applyAlignment="1">
      <alignment horizontal="right" vertical="top"/>
    </xf>
    <xf numFmtId="164" fontId="0" fillId="0" borderId="1" xfId="0" applyNumberFormat="1" applyBorder="1" applyAlignment="1">
      <alignment horizontal="right" vertical="top"/>
    </xf>
    <xf numFmtId="164" fontId="0" fillId="0" borderId="2" xfId="0" applyNumberFormat="1" applyBorder="1" applyAlignment="1">
      <alignment horizontal="right" vertical="top"/>
    </xf>
    <xf numFmtId="164" fontId="0" fillId="0" borderId="4" xfId="0" applyNumberFormat="1" applyBorder="1" applyAlignment="1">
      <alignment horizontal="right" vertical="top"/>
    </xf>
    <xf numFmtId="164" fontId="0" fillId="0" borderId="11" xfId="0" applyNumberFormat="1" applyBorder="1" applyAlignment="1">
      <alignment horizontal="right" vertical="top"/>
    </xf>
    <xf numFmtId="0" fontId="0" fillId="7" borderId="1" xfId="0" quotePrefix="1" applyFill="1" applyBorder="1" applyAlignment="1">
      <alignment horizontal="left" vertical="top" wrapText="1"/>
    </xf>
    <xf numFmtId="0" fontId="0" fillId="7" borderId="11" xfId="0" applyFill="1" applyBorder="1" applyAlignment="1">
      <alignment horizontal="left" vertical="top" wrapText="1"/>
    </xf>
    <xf numFmtId="0" fontId="0" fillId="7" borderId="3" xfId="0" applyFill="1" applyBorder="1" applyAlignment="1">
      <alignment horizontal="left" vertical="top" wrapText="1"/>
    </xf>
    <xf numFmtId="0" fontId="1" fillId="6" borderId="7" xfId="0" applyFont="1" applyFill="1" applyBorder="1" applyAlignment="1">
      <alignment horizontal="left" vertical="top" wrapText="1"/>
    </xf>
    <xf numFmtId="0" fontId="8" fillId="0" borderId="3" xfId="0" applyFont="1" applyBorder="1" applyAlignment="1">
      <alignment horizontal="left" vertical="top" wrapText="1"/>
    </xf>
    <xf numFmtId="2" fontId="0" fillId="0" borderId="1" xfId="0" applyNumberFormat="1" applyBorder="1" applyAlignment="1">
      <alignment horizontal="right" vertical="top" wrapText="1"/>
    </xf>
    <xf numFmtId="0" fontId="0" fillId="0" borderId="1" xfId="0" applyBorder="1"/>
    <xf numFmtId="0" fontId="1" fillId="0" borderId="0" xfId="0" applyFont="1"/>
    <xf numFmtId="0" fontId="13" fillId="0" borderId="0" xfId="0" applyFont="1"/>
    <xf numFmtId="0" fontId="1" fillId="0" borderId="1" xfId="0" applyFont="1" applyBorder="1" applyAlignment="1">
      <alignment horizontal="left" vertical="top"/>
    </xf>
    <xf numFmtId="0" fontId="1" fillId="10" borderId="1" xfId="0" applyFont="1" applyFill="1" applyBorder="1" applyAlignment="1">
      <alignment horizontal="left" vertical="top" wrapText="1"/>
    </xf>
    <xf numFmtId="0" fontId="0" fillId="10" borderId="1" xfId="0" applyFill="1" applyBorder="1" applyAlignment="1">
      <alignment horizontal="left" vertical="top" wrapText="1"/>
    </xf>
    <xf numFmtId="14" fontId="0" fillId="10" borderId="1" xfId="0" applyNumberFormat="1" applyFill="1" applyBorder="1" applyAlignment="1">
      <alignment horizontal="left" vertical="top" wrapText="1"/>
    </xf>
    <xf numFmtId="49" fontId="0" fillId="10" borderId="1" xfId="0" applyNumberFormat="1" applyFill="1" applyBorder="1" applyAlignment="1">
      <alignment horizontal="left" vertical="top" wrapText="1"/>
    </xf>
    <xf numFmtId="164" fontId="0" fillId="10" borderId="1" xfId="0" applyNumberFormat="1" applyFill="1" applyBorder="1" applyAlignment="1">
      <alignment horizontal="right" vertical="top" wrapText="1"/>
    </xf>
    <xf numFmtId="2" fontId="0" fillId="10" borderId="1" xfId="0" applyNumberFormat="1" applyFill="1" applyBorder="1" applyAlignment="1">
      <alignment horizontal="right" vertical="top" wrapText="1"/>
    </xf>
    <xf numFmtId="0" fontId="0" fillId="10" borderId="0" xfId="0" applyFill="1" applyAlignment="1">
      <alignment horizontal="left" vertical="top" wrapText="1"/>
    </xf>
    <xf numFmtId="0" fontId="1" fillId="0" borderId="1" xfId="0" applyFont="1" applyBorder="1"/>
    <xf numFmtId="2" fontId="1" fillId="0" borderId="1" xfId="0" applyNumberFormat="1" applyFont="1" applyBorder="1"/>
    <xf numFmtId="2" fontId="0" fillId="0" borderId="1" xfId="0" applyNumberFormat="1" applyBorder="1"/>
    <xf numFmtId="2" fontId="0" fillId="0" borderId="0" xfId="0" applyNumberFormat="1"/>
    <xf numFmtId="165" fontId="1" fillId="0" borderId="1" xfId="0" applyNumberFormat="1" applyFont="1" applyBorder="1"/>
    <xf numFmtId="165" fontId="0" fillId="0" borderId="1" xfId="0" applyNumberFormat="1" applyBorder="1"/>
    <xf numFmtId="165" fontId="0" fillId="0" borderId="0" xfId="0" applyNumberFormat="1"/>
    <xf numFmtId="14" fontId="0" fillId="0" borderId="1" xfId="0" applyNumberFormat="1" applyBorder="1"/>
    <xf numFmtId="14" fontId="0" fillId="7" borderId="1" xfId="0" applyNumberFormat="1" applyFill="1" applyBorder="1" applyAlignment="1">
      <alignment horizontal="left" vertical="top" wrapText="1"/>
    </xf>
    <xf numFmtId="49" fontId="0" fillId="7" borderId="1" xfId="0" applyNumberFormat="1" applyFill="1" applyBorder="1" applyAlignment="1">
      <alignment horizontal="left" vertical="top" wrapText="1"/>
    </xf>
    <xf numFmtId="2" fontId="0" fillId="7" borderId="1" xfId="0" applyNumberFormat="1" applyFill="1" applyBorder="1" applyAlignment="1">
      <alignment horizontal="right" vertical="top" wrapText="1"/>
    </xf>
    <xf numFmtId="0" fontId="0" fillId="7" borderId="0" xfId="0" applyFill="1" applyAlignment="1">
      <alignment horizontal="left" vertical="top" wrapText="1"/>
    </xf>
    <xf numFmtId="9" fontId="1" fillId="0" borderId="1" xfId="1" applyFont="1" applyBorder="1"/>
    <xf numFmtId="9" fontId="0" fillId="0" borderId="1" xfId="1" applyFont="1" applyBorder="1"/>
    <xf numFmtId="9" fontId="0" fillId="0" borderId="0" xfId="1" applyFont="1"/>
    <xf numFmtId="9" fontId="0" fillId="0" borderId="1" xfId="0" applyNumberFormat="1" applyBorder="1"/>
    <xf numFmtId="0" fontId="0" fillId="5" borderId="1" xfId="0" applyFill="1" applyBorder="1" applyAlignment="1">
      <alignment horizontal="left" vertical="top" wrapText="1"/>
    </xf>
    <xf numFmtId="14" fontId="0" fillId="5" borderId="1" xfId="0" applyNumberFormat="1" applyFill="1" applyBorder="1" applyAlignment="1">
      <alignment horizontal="left" vertical="top" wrapText="1"/>
    </xf>
    <xf numFmtId="49" fontId="0" fillId="5" borderId="1" xfId="0" applyNumberFormat="1" applyFill="1" applyBorder="1" applyAlignment="1">
      <alignment horizontal="left" vertical="top" wrapText="1"/>
    </xf>
    <xf numFmtId="164" fontId="0" fillId="5" borderId="1" xfId="0" applyNumberFormat="1" applyFill="1" applyBorder="1" applyAlignment="1">
      <alignment horizontal="right" vertical="top" wrapText="1"/>
    </xf>
    <xf numFmtId="2" fontId="0" fillId="5" borderId="1" xfId="0" applyNumberFormat="1" applyFill="1" applyBorder="1" applyAlignment="1">
      <alignment horizontal="right" vertical="top" wrapText="1"/>
    </xf>
    <xf numFmtId="0" fontId="0" fillId="5" borderId="0" xfId="0" applyFill="1" applyAlignment="1">
      <alignment horizontal="left" vertical="top" wrapText="1"/>
    </xf>
    <xf numFmtId="0" fontId="1" fillId="2" borderId="1" xfId="0" applyFont="1" applyFill="1" applyBorder="1" applyAlignment="1">
      <alignment horizontal="left" vertical="top" wrapText="1"/>
    </xf>
    <xf numFmtId="0" fontId="1" fillId="4" borderId="5" xfId="0" applyFont="1" applyFill="1" applyBorder="1" applyAlignment="1">
      <alignment horizontal="left" vertical="top" wrapText="1"/>
    </xf>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6" borderId="5" xfId="0" applyFont="1" applyFill="1" applyBorder="1" applyAlignment="1">
      <alignment horizontal="left" vertical="top" wrapText="1"/>
    </xf>
    <xf numFmtId="0" fontId="1" fillId="6" borderId="6" xfId="0" applyFont="1" applyFill="1" applyBorder="1" applyAlignment="1">
      <alignment horizontal="left" vertical="top" wrapText="1"/>
    </xf>
    <xf numFmtId="0" fontId="1" fillId="6" borderId="7" xfId="0" applyFont="1" applyFill="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Recovered Fines (&lt;20 microns) by</a:t>
            </a:r>
            <a:r>
              <a:rPr lang="en-US" baseline="0"/>
              <a:t> Time in Shaker</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'Shaker Time Test'!$G$9</c:f>
              <c:strCache>
                <c:ptCount val="1"/>
                <c:pt idx="0">
                  <c:v>DIA_GC_6.5_2025_9-10</c:v>
                </c:pt>
              </c:strCache>
            </c:strRef>
          </c:tx>
          <c:spPr>
            <a:ln w="28575" cap="rnd">
              <a:solidFill>
                <a:schemeClr val="accent1"/>
              </a:solidFill>
              <a:round/>
            </a:ln>
            <a:effectLst/>
          </c:spPr>
          <c:marker>
            <c:symbol val="none"/>
          </c:marker>
          <c:cat>
            <c:strRef>
              <c:f>'Shaker Time Test'!$H$8:$N$8</c:f>
              <c:strCache>
                <c:ptCount val="7"/>
                <c:pt idx="0">
                  <c:v>Wt_10_min_g</c:v>
                </c:pt>
                <c:pt idx="1">
                  <c:v>Wt_15_min_g</c:v>
                </c:pt>
                <c:pt idx="2">
                  <c:v>Wt_17_min_g</c:v>
                </c:pt>
                <c:pt idx="3">
                  <c:v>Wt_19_min_g</c:v>
                </c:pt>
                <c:pt idx="4">
                  <c:v>Wt_21_min_g</c:v>
                </c:pt>
                <c:pt idx="5">
                  <c:v>Wt_23_min_g</c:v>
                </c:pt>
                <c:pt idx="6">
                  <c:v>Wt_25_min_g</c:v>
                </c:pt>
              </c:strCache>
            </c:strRef>
          </c:cat>
          <c:val>
            <c:numRef>
              <c:f>'Shaker Time Test'!$H$9:$N$9</c:f>
              <c:numCache>
                <c:formatCode>General</c:formatCode>
                <c:ptCount val="7"/>
                <c:pt idx="0">
                  <c:v>0.39999999999997726</c:v>
                </c:pt>
                <c:pt idx="1">
                  <c:v>0.81000000000000227</c:v>
                </c:pt>
                <c:pt idx="2">
                  <c:v>1.0099999999999909</c:v>
                </c:pt>
                <c:pt idx="3">
                  <c:v>1.2299999999999613</c:v>
                </c:pt>
                <c:pt idx="4">
                  <c:v>1.3999999999999773</c:v>
                </c:pt>
                <c:pt idx="5">
                  <c:v>1.4699999999999704</c:v>
                </c:pt>
                <c:pt idx="6">
                  <c:v>1.5</c:v>
                </c:pt>
              </c:numCache>
            </c:numRef>
          </c:val>
          <c:smooth val="0"/>
          <c:extLst>
            <c:ext xmlns:c16="http://schemas.microsoft.com/office/drawing/2014/chart" uri="{C3380CC4-5D6E-409C-BE32-E72D297353CC}">
              <c16:uniqueId val="{00000000-B4D3-4015-83C2-DD318C774746}"/>
            </c:ext>
          </c:extLst>
        </c:ser>
        <c:ser>
          <c:idx val="1"/>
          <c:order val="1"/>
          <c:tx>
            <c:strRef>
              <c:f>'Shaker Time Test'!$G$10</c:f>
              <c:strCache>
                <c:ptCount val="1"/>
                <c:pt idx="0">
                  <c:v>DIA_GC_6.5_2025_11</c:v>
                </c:pt>
              </c:strCache>
            </c:strRef>
          </c:tx>
          <c:spPr>
            <a:ln w="28575" cap="rnd">
              <a:solidFill>
                <a:schemeClr val="accent2"/>
              </a:solidFill>
              <a:round/>
            </a:ln>
            <a:effectLst/>
          </c:spPr>
          <c:marker>
            <c:symbol val="none"/>
          </c:marker>
          <c:cat>
            <c:strRef>
              <c:f>'Shaker Time Test'!$H$8:$N$8</c:f>
              <c:strCache>
                <c:ptCount val="7"/>
                <c:pt idx="0">
                  <c:v>Wt_10_min_g</c:v>
                </c:pt>
                <c:pt idx="1">
                  <c:v>Wt_15_min_g</c:v>
                </c:pt>
                <c:pt idx="2">
                  <c:v>Wt_17_min_g</c:v>
                </c:pt>
                <c:pt idx="3">
                  <c:v>Wt_19_min_g</c:v>
                </c:pt>
                <c:pt idx="4">
                  <c:v>Wt_21_min_g</c:v>
                </c:pt>
                <c:pt idx="5">
                  <c:v>Wt_23_min_g</c:v>
                </c:pt>
                <c:pt idx="6">
                  <c:v>Wt_25_min_g</c:v>
                </c:pt>
              </c:strCache>
            </c:strRef>
          </c:cat>
          <c:val>
            <c:numRef>
              <c:f>'Shaker Time Test'!$H$10:$N$10</c:f>
              <c:numCache>
                <c:formatCode>General</c:formatCode>
                <c:ptCount val="7"/>
                <c:pt idx="0">
                  <c:v>0.63999999999998636</c:v>
                </c:pt>
                <c:pt idx="1">
                  <c:v>0.81000000000000227</c:v>
                </c:pt>
                <c:pt idx="2">
                  <c:v>0.86000000000001364</c:v>
                </c:pt>
                <c:pt idx="3">
                  <c:v>0.82999999999998408</c:v>
                </c:pt>
                <c:pt idx="4">
                  <c:v>0.84999999999996589</c:v>
                </c:pt>
                <c:pt idx="5">
                  <c:v>0.89999999999997726</c:v>
                </c:pt>
                <c:pt idx="6">
                  <c:v>0.93999999999999773</c:v>
                </c:pt>
              </c:numCache>
            </c:numRef>
          </c:val>
          <c:smooth val="0"/>
          <c:extLst>
            <c:ext xmlns:c16="http://schemas.microsoft.com/office/drawing/2014/chart" uri="{C3380CC4-5D6E-409C-BE32-E72D297353CC}">
              <c16:uniqueId val="{00000001-B4D3-4015-83C2-DD318C774746}"/>
            </c:ext>
          </c:extLst>
        </c:ser>
        <c:ser>
          <c:idx val="2"/>
          <c:order val="2"/>
          <c:tx>
            <c:strRef>
              <c:f>'Shaker Time Test'!$G$11</c:f>
              <c:strCache>
                <c:ptCount val="1"/>
                <c:pt idx="0">
                  <c:v>DIA_GC_26_2025_9-10</c:v>
                </c:pt>
              </c:strCache>
            </c:strRef>
          </c:tx>
          <c:spPr>
            <a:ln w="28575" cap="rnd">
              <a:solidFill>
                <a:schemeClr val="accent3"/>
              </a:solidFill>
              <a:round/>
            </a:ln>
            <a:effectLst/>
          </c:spPr>
          <c:marker>
            <c:symbol val="none"/>
          </c:marker>
          <c:cat>
            <c:strRef>
              <c:f>'Shaker Time Test'!$H$8:$N$8</c:f>
              <c:strCache>
                <c:ptCount val="7"/>
                <c:pt idx="0">
                  <c:v>Wt_10_min_g</c:v>
                </c:pt>
                <c:pt idx="1">
                  <c:v>Wt_15_min_g</c:v>
                </c:pt>
                <c:pt idx="2">
                  <c:v>Wt_17_min_g</c:v>
                </c:pt>
                <c:pt idx="3">
                  <c:v>Wt_19_min_g</c:v>
                </c:pt>
                <c:pt idx="4">
                  <c:v>Wt_21_min_g</c:v>
                </c:pt>
                <c:pt idx="5">
                  <c:v>Wt_23_min_g</c:v>
                </c:pt>
                <c:pt idx="6">
                  <c:v>Wt_25_min_g</c:v>
                </c:pt>
              </c:strCache>
            </c:strRef>
          </c:cat>
          <c:val>
            <c:numRef>
              <c:f>'Shaker Time Test'!$H$11:$N$11</c:f>
              <c:numCache>
                <c:formatCode>General</c:formatCode>
                <c:ptCount val="7"/>
                <c:pt idx="0">
                  <c:v>1.1599999999999682</c:v>
                </c:pt>
                <c:pt idx="1">
                  <c:v>1.5999999999999659</c:v>
                </c:pt>
                <c:pt idx="2">
                  <c:v>1.8199999999999932</c:v>
                </c:pt>
                <c:pt idx="3">
                  <c:v>2.0099999999999909</c:v>
                </c:pt>
                <c:pt idx="4">
                  <c:v>2.1499999999999773</c:v>
                </c:pt>
                <c:pt idx="5">
                  <c:v>2.2599999999999909</c:v>
                </c:pt>
                <c:pt idx="6">
                  <c:v>2.3299999999999841</c:v>
                </c:pt>
              </c:numCache>
            </c:numRef>
          </c:val>
          <c:smooth val="0"/>
          <c:extLst>
            <c:ext xmlns:c16="http://schemas.microsoft.com/office/drawing/2014/chart" uri="{C3380CC4-5D6E-409C-BE32-E72D297353CC}">
              <c16:uniqueId val="{00000002-B4D3-4015-83C2-DD318C774746}"/>
            </c:ext>
          </c:extLst>
        </c:ser>
        <c:ser>
          <c:idx val="3"/>
          <c:order val="3"/>
          <c:tx>
            <c:strRef>
              <c:f>'Shaker Time Test'!$G$12</c:f>
              <c:strCache>
                <c:ptCount val="1"/>
                <c:pt idx="0">
                  <c:v>DIA_GC_26_2025_11</c:v>
                </c:pt>
              </c:strCache>
            </c:strRef>
          </c:tx>
          <c:spPr>
            <a:ln w="28575" cap="rnd">
              <a:solidFill>
                <a:schemeClr val="accent4"/>
              </a:solidFill>
              <a:round/>
            </a:ln>
            <a:effectLst/>
          </c:spPr>
          <c:marker>
            <c:symbol val="none"/>
          </c:marker>
          <c:cat>
            <c:strRef>
              <c:f>'Shaker Time Test'!$H$8:$N$8</c:f>
              <c:strCache>
                <c:ptCount val="7"/>
                <c:pt idx="0">
                  <c:v>Wt_10_min_g</c:v>
                </c:pt>
                <c:pt idx="1">
                  <c:v>Wt_15_min_g</c:v>
                </c:pt>
                <c:pt idx="2">
                  <c:v>Wt_17_min_g</c:v>
                </c:pt>
                <c:pt idx="3">
                  <c:v>Wt_19_min_g</c:v>
                </c:pt>
                <c:pt idx="4">
                  <c:v>Wt_21_min_g</c:v>
                </c:pt>
                <c:pt idx="5">
                  <c:v>Wt_23_min_g</c:v>
                </c:pt>
                <c:pt idx="6">
                  <c:v>Wt_25_min_g</c:v>
                </c:pt>
              </c:strCache>
            </c:strRef>
          </c:cat>
          <c:val>
            <c:numRef>
              <c:f>'Shaker Time Test'!$H$12:$N$12</c:f>
              <c:numCache>
                <c:formatCode>General</c:formatCode>
                <c:ptCount val="7"/>
                <c:pt idx="0">
                  <c:v>0.5</c:v>
                </c:pt>
                <c:pt idx="1">
                  <c:v>0.81000000000000227</c:v>
                </c:pt>
                <c:pt idx="2">
                  <c:v>0.88999999999998636</c:v>
                </c:pt>
                <c:pt idx="3">
                  <c:v>0.89999999999997726</c:v>
                </c:pt>
                <c:pt idx="4">
                  <c:v>0.94999999999998863</c:v>
                </c:pt>
                <c:pt idx="5">
                  <c:v>0.95999999999997954</c:v>
                </c:pt>
                <c:pt idx="6">
                  <c:v>0.96999999999997044</c:v>
                </c:pt>
              </c:numCache>
            </c:numRef>
          </c:val>
          <c:smooth val="0"/>
          <c:extLst>
            <c:ext xmlns:c16="http://schemas.microsoft.com/office/drawing/2014/chart" uri="{C3380CC4-5D6E-409C-BE32-E72D297353CC}">
              <c16:uniqueId val="{00000003-B4D3-4015-83C2-DD318C774746}"/>
            </c:ext>
          </c:extLst>
        </c:ser>
        <c:dLbls>
          <c:showLegendKey val="0"/>
          <c:showVal val="0"/>
          <c:showCatName val="0"/>
          <c:showSerName val="0"/>
          <c:showPercent val="0"/>
          <c:showBubbleSize val="0"/>
        </c:dLbls>
        <c:smooth val="0"/>
        <c:axId val="2124815"/>
        <c:axId val="2122415"/>
      </c:lineChart>
      <c:catAx>
        <c:axId val="2124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Processing</a:t>
                </a:r>
                <a:r>
                  <a:rPr lang="en-US" baseline="0"/>
                  <a:t> Time (min)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415"/>
        <c:crosses val="autoZero"/>
        <c:auto val="1"/>
        <c:lblAlgn val="ctr"/>
        <c:lblOffset val="100"/>
        <c:noMultiLvlLbl val="0"/>
      </c:catAx>
      <c:valAx>
        <c:axId val="212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Recovered</a:t>
                </a:r>
                <a:r>
                  <a:rPr lang="en-US" baseline="0"/>
                  <a:t> Fines (g)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314325</xdr:colOff>
      <xdr:row>13</xdr:row>
      <xdr:rowOff>0</xdr:rowOff>
    </xdr:from>
    <xdr:to>
      <xdr:col>13</xdr:col>
      <xdr:colOff>596900</xdr:colOff>
      <xdr:row>33</xdr:row>
      <xdr:rowOff>114300</xdr:rowOff>
    </xdr:to>
    <xdr:graphicFrame macro="">
      <xdr:nvGraphicFramePr>
        <xdr:cNvPr id="2" name="Chart 1">
          <a:extLst>
            <a:ext uri="{FF2B5EF4-FFF2-40B4-BE49-F238E27FC236}">
              <a16:creationId xmlns:a16="http://schemas.microsoft.com/office/drawing/2014/main" id="{30519D74-DA00-E686-8950-4D3A71745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Ford,Ashley" id="{6E1511FB-59F1-4ECE-8C5C-718814FC3DC4}" userId="S::C837147179@colostate.edu::373eb799-6892-44b9-a226-160595b7207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 dT="2025-11-11T21:31:16.29" personId="{6E1511FB-59F1-4ECE-8C5C-718814FC3DC4}" id="{24E48F31-DC43-4629-A1D5-C37656F2973E}">
    <text>Typically, a 10 g sample is weighed, dried at 105 C overnight, and reweighed. However, Dan advised that I use 3 g and measure it to 3-decimals due to my limited amount of sample.</text>
  </threadedComment>
  <threadedComment ref="H1" dT="2025-11-11T21:31:37.81" personId="{6E1511FB-59F1-4ECE-8C5C-718814FC3DC4}" id="{110777B7-E4FB-4835-9C70-F8C2CE850949}">
    <text>40 grams when possible</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FDDE6-BC28-4EFB-BFA9-02C797D11755}">
  <sheetPr filterMode="1">
    <tabColor theme="0" tint="-0.14999847407452621"/>
  </sheetPr>
  <dimension ref="A1:S440"/>
  <sheetViews>
    <sheetView topLeftCell="L14" zoomScale="90" zoomScaleNormal="90" workbookViewId="0">
      <selection activeCell="R15" sqref="R15"/>
    </sheetView>
  </sheetViews>
  <sheetFormatPr defaultColWidth="8.7109375" defaultRowHeight="15" x14ac:dyDescent="0.25"/>
  <cols>
    <col min="1" max="1" width="8.7109375" style="3"/>
    <col min="2" max="2" width="13.42578125" style="3" customWidth="1"/>
    <col min="3" max="3" width="9.5703125" style="4" bestFit="1" customWidth="1"/>
    <col min="4" max="4" width="10.140625" style="3" bestFit="1" customWidth="1"/>
    <col min="5" max="5" width="13.42578125" style="3" customWidth="1"/>
    <col min="6" max="6" width="13.5703125" style="3" customWidth="1"/>
    <col min="7" max="7" width="14" style="4" customWidth="1"/>
    <col min="8" max="8" width="9.140625" style="3" customWidth="1"/>
    <col min="9" max="9" width="39.42578125" style="3" customWidth="1"/>
    <col min="10" max="10" width="27.42578125" style="3" customWidth="1"/>
    <col min="11" max="11" width="20.85546875" style="3" customWidth="1"/>
    <col min="12" max="12" width="22.140625" style="3" customWidth="1"/>
    <col min="13" max="13" width="18" style="3" customWidth="1"/>
    <col min="14" max="14" width="23.5703125" style="3" customWidth="1"/>
    <col min="15" max="16" width="22.140625" style="3" customWidth="1"/>
    <col min="17" max="17" width="19.5703125" style="3" bestFit="1" customWidth="1"/>
    <col min="18" max="18" width="18.5703125" style="3" customWidth="1"/>
    <col min="19" max="19" width="50.42578125" style="3" bestFit="1" customWidth="1"/>
    <col min="20" max="16384" width="8.7109375" style="3"/>
  </cols>
  <sheetData>
    <row r="1" spans="1:19" s="15" customFormat="1" ht="18.75" x14ac:dyDescent="0.25">
      <c r="A1" s="15" t="s">
        <v>21</v>
      </c>
      <c r="B1" s="16"/>
      <c r="G1" s="16"/>
    </row>
    <row r="2" spans="1:19" s="18" customFormat="1" x14ac:dyDescent="0.25">
      <c r="B2" s="2"/>
      <c r="G2" s="2"/>
    </row>
    <row r="3" spans="1:19" s="18" customFormat="1" x14ac:dyDescent="0.25">
      <c r="A3" s="30" t="s">
        <v>17</v>
      </c>
      <c r="B3" s="2" t="s">
        <v>18</v>
      </c>
      <c r="D3" s="30"/>
      <c r="E3" s="30"/>
      <c r="F3" s="2"/>
      <c r="G3" s="2"/>
    </row>
    <row r="4" spans="1:19" s="18" customFormat="1" x14ac:dyDescent="0.25">
      <c r="A4" s="30" t="s">
        <v>16</v>
      </c>
      <c r="D4" s="30"/>
      <c r="E4" s="30"/>
      <c r="F4" s="2"/>
      <c r="G4" s="2"/>
    </row>
    <row r="5" spans="1:19" s="18" customFormat="1" x14ac:dyDescent="0.25">
      <c r="A5" s="30"/>
      <c r="D5" s="30"/>
      <c r="E5" s="30"/>
      <c r="G5" s="2"/>
    </row>
    <row r="6" spans="1:19" s="18" customFormat="1" x14ac:dyDescent="0.25">
      <c r="A6" s="30"/>
      <c r="D6" s="30"/>
      <c r="E6" s="30"/>
      <c r="F6" s="2"/>
      <c r="G6" s="2"/>
    </row>
    <row r="7" spans="1:19" s="18" customFormat="1" x14ac:dyDescent="0.25">
      <c r="A7" s="30" t="s">
        <v>20</v>
      </c>
      <c r="D7" s="30"/>
      <c r="E7" s="30"/>
      <c r="F7" s="2"/>
      <c r="G7" s="2"/>
    </row>
    <row r="8" spans="1:19" s="18" customFormat="1" x14ac:dyDescent="0.25">
      <c r="A8" s="30" t="s">
        <v>10</v>
      </c>
      <c r="D8" s="30"/>
      <c r="E8" s="30"/>
      <c r="F8" s="2"/>
      <c r="G8" s="2"/>
    </row>
    <row r="9" spans="1:19" s="18" customFormat="1" x14ac:dyDescent="0.25">
      <c r="A9" s="30" t="s">
        <v>11</v>
      </c>
      <c r="D9" s="30"/>
      <c r="E9" s="30"/>
      <c r="F9" s="2"/>
      <c r="G9" s="2"/>
    </row>
    <row r="10" spans="1:19" s="18" customFormat="1" x14ac:dyDescent="0.25">
      <c r="A10" s="30" t="s">
        <v>12</v>
      </c>
      <c r="D10" s="30"/>
      <c r="E10" s="30"/>
      <c r="F10" s="2"/>
      <c r="G10" s="2"/>
    </row>
    <row r="11" spans="1:19" s="18" customFormat="1" x14ac:dyDescent="0.25">
      <c r="A11" s="30" t="s">
        <v>13</v>
      </c>
      <c r="D11" s="30"/>
      <c r="E11" s="30"/>
      <c r="F11" s="2"/>
      <c r="G11" s="2"/>
    </row>
    <row r="12" spans="1:19" x14ac:dyDescent="0.25">
      <c r="B12" s="4"/>
    </row>
    <row r="13" spans="1:19" ht="14.45" customHeight="1" x14ac:dyDescent="0.25">
      <c r="A13" s="26"/>
      <c r="B13" s="26"/>
      <c r="C13" s="27"/>
      <c r="D13" s="28"/>
      <c r="E13" s="97" t="s">
        <v>4</v>
      </c>
      <c r="F13" s="98"/>
      <c r="G13" s="98"/>
      <c r="H13" s="98"/>
      <c r="I13" s="99"/>
      <c r="J13" s="96" t="s">
        <v>14</v>
      </c>
      <c r="K13" s="96"/>
      <c r="L13" s="96"/>
      <c r="M13" s="100" t="s">
        <v>15</v>
      </c>
      <c r="N13" s="101"/>
      <c r="O13" s="101"/>
      <c r="P13" s="102"/>
      <c r="Q13" s="60"/>
      <c r="R13" s="32" t="s">
        <v>257</v>
      </c>
      <c r="S13" s="9"/>
    </row>
    <row r="14" spans="1:19" s="1" customFormat="1" ht="138" x14ac:dyDescent="0.25">
      <c r="A14" s="5" t="s">
        <v>22</v>
      </c>
      <c r="B14" s="5" t="s">
        <v>26</v>
      </c>
      <c r="C14" s="5" t="s">
        <v>0</v>
      </c>
      <c r="D14" s="5" t="s">
        <v>70</v>
      </c>
      <c r="E14" s="17" t="s">
        <v>47</v>
      </c>
      <c r="F14" s="17" t="s">
        <v>46</v>
      </c>
      <c r="G14" s="25" t="s">
        <v>69</v>
      </c>
      <c r="H14" s="17" t="s">
        <v>256</v>
      </c>
      <c r="I14" s="17" t="s">
        <v>269</v>
      </c>
      <c r="J14" s="6" t="s">
        <v>5</v>
      </c>
      <c r="K14" s="6" t="s">
        <v>19</v>
      </c>
      <c r="L14" s="6" t="s">
        <v>8</v>
      </c>
      <c r="M14" s="7" t="s">
        <v>6</v>
      </c>
      <c r="N14" s="7" t="s">
        <v>7</v>
      </c>
      <c r="O14" s="7" t="s">
        <v>9</v>
      </c>
      <c r="P14" s="7" t="s">
        <v>372</v>
      </c>
      <c r="Q14" s="7" t="s">
        <v>391</v>
      </c>
      <c r="R14" s="8" t="s">
        <v>3</v>
      </c>
      <c r="S14" s="5" t="s">
        <v>1</v>
      </c>
    </row>
    <row r="15" spans="1:19" x14ac:dyDescent="0.25">
      <c r="A15" s="5" t="s">
        <v>24</v>
      </c>
      <c r="B15" s="9" t="s">
        <v>31</v>
      </c>
      <c r="C15" s="9" t="s">
        <v>392</v>
      </c>
      <c r="D15" s="22">
        <v>45890</v>
      </c>
      <c r="E15" s="9">
        <v>2</v>
      </c>
      <c r="F15" s="10" t="s">
        <v>48</v>
      </c>
      <c r="G15" s="9" t="s">
        <v>85</v>
      </c>
      <c r="H15" s="9">
        <v>101</v>
      </c>
      <c r="I15" s="9" t="s">
        <v>216</v>
      </c>
      <c r="J15" s="38">
        <f t="shared" ref="J15:J54" si="0">H15</f>
        <v>101</v>
      </c>
      <c r="K15" s="38">
        <f t="shared" ref="K15:K54" si="1">AVERAGE(19.9,19.77,19.6)</f>
        <v>19.756666666666668</v>
      </c>
      <c r="L15" s="38">
        <f t="shared" ref="L15:L54" si="2">J15-K15</f>
        <v>81.243333333333339</v>
      </c>
      <c r="M15" s="53">
        <v>91.75</v>
      </c>
      <c r="N15" s="38">
        <f t="shared" ref="N15:N54" si="3">AVERAGE(19.9,19.77,19.6)</f>
        <v>19.756666666666668</v>
      </c>
      <c r="O15" s="38">
        <f t="shared" ref="O15:O54" si="4">M15-N15</f>
        <v>71.993333333333339</v>
      </c>
      <c r="P15" s="38"/>
      <c r="Q15" s="38"/>
      <c r="R15" s="38">
        <f t="shared" ref="R15:R46" si="5">((L15-O15)/O15)*100</f>
        <v>12.848411889989814</v>
      </c>
      <c r="S15" s="9"/>
    </row>
    <row r="16" spans="1:19" x14ac:dyDescent="0.25">
      <c r="A16" s="5" t="s">
        <v>24</v>
      </c>
      <c r="B16" s="9" t="s">
        <v>31</v>
      </c>
      <c r="C16" s="9" t="s">
        <v>393</v>
      </c>
      <c r="D16" s="22">
        <v>45890</v>
      </c>
      <c r="E16" s="9">
        <v>2</v>
      </c>
      <c r="F16" s="10" t="s">
        <v>49</v>
      </c>
      <c r="G16" s="9" t="s">
        <v>85</v>
      </c>
      <c r="H16" s="9">
        <v>122</v>
      </c>
      <c r="I16" s="9" t="s">
        <v>217</v>
      </c>
      <c r="J16" s="38">
        <f t="shared" si="0"/>
        <v>122</v>
      </c>
      <c r="K16" s="38">
        <f t="shared" si="1"/>
        <v>19.756666666666668</v>
      </c>
      <c r="L16" s="38">
        <f t="shared" si="2"/>
        <v>102.24333333333334</v>
      </c>
      <c r="M16" s="53">
        <v>113.58</v>
      </c>
      <c r="N16" s="38">
        <f t="shared" si="3"/>
        <v>19.756666666666668</v>
      </c>
      <c r="O16" s="38">
        <f t="shared" si="4"/>
        <v>93.823333333333323</v>
      </c>
      <c r="P16" s="38"/>
      <c r="Q16" s="38"/>
      <c r="R16" s="38">
        <f t="shared" si="5"/>
        <v>8.9743134259423911</v>
      </c>
      <c r="S16" s="9"/>
    </row>
    <row r="17" spans="1:19" x14ac:dyDescent="0.25">
      <c r="A17" s="5" t="s">
        <v>24</v>
      </c>
      <c r="B17" s="9" t="s">
        <v>31</v>
      </c>
      <c r="C17" s="9" t="s">
        <v>394</v>
      </c>
      <c r="D17" s="22">
        <v>45890</v>
      </c>
      <c r="E17" s="9">
        <v>2</v>
      </c>
      <c r="F17" s="10" t="s">
        <v>50</v>
      </c>
      <c r="G17" s="9" t="s">
        <v>85</v>
      </c>
      <c r="H17" s="9">
        <v>79</v>
      </c>
      <c r="I17" s="9" t="s">
        <v>218</v>
      </c>
      <c r="J17" s="38">
        <f t="shared" si="0"/>
        <v>79</v>
      </c>
      <c r="K17" s="38">
        <f t="shared" si="1"/>
        <v>19.756666666666668</v>
      </c>
      <c r="L17" s="38">
        <f t="shared" si="2"/>
        <v>59.243333333333332</v>
      </c>
      <c r="M17" s="53">
        <v>69.400000000000006</v>
      </c>
      <c r="N17" s="38">
        <f t="shared" si="3"/>
        <v>19.756666666666668</v>
      </c>
      <c r="O17" s="38">
        <f t="shared" si="4"/>
        <v>49.643333333333338</v>
      </c>
      <c r="P17" s="38"/>
      <c r="Q17" s="38"/>
      <c r="R17" s="38">
        <f t="shared" si="5"/>
        <v>19.337944000537153</v>
      </c>
      <c r="S17" s="9"/>
    </row>
    <row r="18" spans="1:19" x14ac:dyDescent="0.25">
      <c r="A18" s="5" t="s">
        <v>24</v>
      </c>
      <c r="B18" s="9" t="s">
        <v>31</v>
      </c>
      <c r="C18" s="9" t="s">
        <v>395</v>
      </c>
      <c r="D18" s="22">
        <v>45890</v>
      </c>
      <c r="E18" s="9">
        <v>2</v>
      </c>
      <c r="F18" s="10" t="s">
        <v>51</v>
      </c>
      <c r="G18" s="9" t="s">
        <v>85</v>
      </c>
      <c r="H18" s="9">
        <v>88</v>
      </c>
      <c r="I18" s="9" t="s">
        <v>218</v>
      </c>
      <c r="J18" s="38">
        <f t="shared" si="0"/>
        <v>88</v>
      </c>
      <c r="K18" s="38">
        <f t="shared" si="1"/>
        <v>19.756666666666668</v>
      </c>
      <c r="L18" s="38">
        <f t="shared" si="2"/>
        <v>68.243333333333339</v>
      </c>
      <c r="M18" s="53">
        <v>74.260000000000005</v>
      </c>
      <c r="N18" s="38">
        <f t="shared" si="3"/>
        <v>19.756666666666668</v>
      </c>
      <c r="O18" s="38">
        <f t="shared" si="4"/>
        <v>54.503333333333337</v>
      </c>
      <c r="P18" s="38"/>
      <c r="Q18" s="38"/>
      <c r="R18" s="38">
        <f t="shared" si="5"/>
        <v>25.20946731086784</v>
      </c>
      <c r="S18" s="9"/>
    </row>
    <row r="19" spans="1:19" x14ac:dyDescent="0.25">
      <c r="A19" s="5" t="s">
        <v>24</v>
      </c>
      <c r="B19" s="9" t="s">
        <v>31</v>
      </c>
      <c r="C19" s="9" t="s">
        <v>396</v>
      </c>
      <c r="D19" s="22">
        <v>45890</v>
      </c>
      <c r="E19" s="9">
        <v>2</v>
      </c>
      <c r="F19" s="10" t="s">
        <v>52</v>
      </c>
      <c r="G19" s="9" t="s">
        <v>85</v>
      </c>
      <c r="H19" s="9">
        <v>96</v>
      </c>
      <c r="I19" s="9" t="s">
        <v>218</v>
      </c>
      <c r="J19" s="38">
        <f t="shared" si="0"/>
        <v>96</v>
      </c>
      <c r="K19" s="38">
        <f t="shared" si="1"/>
        <v>19.756666666666668</v>
      </c>
      <c r="L19" s="38">
        <f t="shared" si="2"/>
        <v>76.243333333333339</v>
      </c>
      <c r="M19" s="53">
        <v>81.36</v>
      </c>
      <c r="N19" s="38">
        <f t="shared" si="3"/>
        <v>19.756666666666668</v>
      </c>
      <c r="O19" s="38">
        <f t="shared" si="4"/>
        <v>61.603333333333332</v>
      </c>
      <c r="P19" s="38"/>
      <c r="Q19" s="38"/>
      <c r="R19" s="38">
        <f t="shared" si="5"/>
        <v>23.764947784210825</v>
      </c>
      <c r="S19" s="9"/>
    </row>
    <row r="20" spans="1:19" x14ac:dyDescent="0.25">
      <c r="A20" s="5" t="s">
        <v>24</v>
      </c>
      <c r="B20" s="9" t="s">
        <v>31</v>
      </c>
      <c r="C20" s="9" t="s">
        <v>397</v>
      </c>
      <c r="D20" s="22">
        <v>45890</v>
      </c>
      <c r="E20" s="9">
        <v>2</v>
      </c>
      <c r="F20" s="10" t="s">
        <v>53</v>
      </c>
      <c r="G20" s="9" t="s">
        <v>85</v>
      </c>
      <c r="H20" s="9">
        <v>167</v>
      </c>
      <c r="I20" s="9" t="s">
        <v>218</v>
      </c>
      <c r="J20" s="38">
        <f t="shared" si="0"/>
        <v>167</v>
      </c>
      <c r="K20" s="38">
        <f t="shared" si="1"/>
        <v>19.756666666666668</v>
      </c>
      <c r="L20" s="38">
        <f t="shared" si="2"/>
        <v>147.24333333333334</v>
      </c>
      <c r="M20" s="53">
        <v>159.03</v>
      </c>
      <c r="N20" s="38">
        <f t="shared" si="3"/>
        <v>19.756666666666668</v>
      </c>
      <c r="O20" s="38">
        <f t="shared" si="4"/>
        <v>139.27333333333334</v>
      </c>
      <c r="P20" s="38"/>
      <c r="Q20" s="38"/>
      <c r="R20" s="38">
        <f t="shared" si="5"/>
        <v>5.7225599540471963</v>
      </c>
      <c r="S20" s="9"/>
    </row>
    <row r="21" spans="1:19" x14ac:dyDescent="0.25">
      <c r="A21" s="5" t="s">
        <v>24</v>
      </c>
      <c r="B21" s="9" t="s">
        <v>31</v>
      </c>
      <c r="C21" s="9" t="s">
        <v>398</v>
      </c>
      <c r="D21" s="22">
        <v>45890</v>
      </c>
      <c r="E21" s="9">
        <v>2</v>
      </c>
      <c r="F21" s="10" t="s">
        <v>54</v>
      </c>
      <c r="G21" s="9" t="s">
        <v>85</v>
      </c>
      <c r="H21" s="9">
        <v>100</v>
      </c>
      <c r="I21" s="9" t="s">
        <v>219</v>
      </c>
      <c r="J21" s="38">
        <f t="shared" si="0"/>
        <v>100</v>
      </c>
      <c r="K21" s="38">
        <f t="shared" si="1"/>
        <v>19.756666666666668</v>
      </c>
      <c r="L21" s="38">
        <f t="shared" si="2"/>
        <v>80.243333333333339</v>
      </c>
      <c r="M21" s="53">
        <v>90.03</v>
      </c>
      <c r="N21" s="38">
        <f t="shared" si="3"/>
        <v>19.756666666666668</v>
      </c>
      <c r="O21" s="38">
        <f t="shared" si="4"/>
        <v>70.273333333333341</v>
      </c>
      <c r="P21" s="38"/>
      <c r="Q21" s="38"/>
      <c r="R21" s="38">
        <f t="shared" si="5"/>
        <v>14.187458495398916</v>
      </c>
      <c r="S21" s="9"/>
    </row>
    <row r="22" spans="1:19" x14ac:dyDescent="0.25">
      <c r="A22" s="5" t="s">
        <v>24</v>
      </c>
      <c r="B22" s="9" t="s">
        <v>31</v>
      </c>
      <c r="C22" s="9" t="s">
        <v>399</v>
      </c>
      <c r="D22" s="22">
        <v>45890</v>
      </c>
      <c r="E22" s="9">
        <v>2</v>
      </c>
      <c r="F22" s="10" t="s">
        <v>55</v>
      </c>
      <c r="G22" s="9" t="s">
        <v>85</v>
      </c>
      <c r="H22" s="9">
        <v>108</v>
      </c>
      <c r="I22" s="9" t="s">
        <v>219</v>
      </c>
      <c r="J22" s="38">
        <f t="shared" si="0"/>
        <v>108</v>
      </c>
      <c r="K22" s="38">
        <f t="shared" si="1"/>
        <v>19.756666666666668</v>
      </c>
      <c r="L22" s="38">
        <f t="shared" si="2"/>
        <v>88.243333333333339</v>
      </c>
      <c r="M22" s="53">
        <v>96.9</v>
      </c>
      <c r="N22" s="38">
        <f t="shared" si="3"/>
        <v>19.756666666666668</v>
      </c>
      <c r="O22" s="38">
        <f t="shared" si="4"/>
        <v>77.143333333333345</v>
      </c>
      <c r="P22" s="38"/>
      <c r="Q22" s="38"/>
      <c r="R22" s="38">
        <f t="shared" si="5"/>
        <v>14.388800069135366</v>
      </c>
      <c r="S22" s="9"/>
    </row>
    <row r="23" spans="1:19" x14ac:dyDescent="0.25">
      <c r="A23" s="5" t="s">
        <v>24</v>
      </c>
      <c r="B23" s="9" t="s">
        <v>31</v>
      </c>
      <c r="C23" s="9" t="s">
        <v>400</v>
      </c>
      <c r="D23" s="22">
        <v>45890</v>
      </c>
      <c r="E23" s="9">
        <v>2</v>
      </c>
      <c r="F23" s="10" t="s">
        <v>56</v>
      </c>
      <c r="G23" s="9" t="s">
        <v>85</v>
      </c>
      <c r="H23" s="9">
        <v>127</v>
      </c>
      <c r="I23" s="9" t="s">
        <v>220</v>
      </c>
      <c r="J23" s="38">
        <f t="shared" si="0"/>
        <v>127</v>
      </c>
      <c r="K23" s="38">
        <f t="shared" si="1"/>
        <v>19.756666666666668</v>
      </c>
      <c r="L23" s="38">
        <f t="shared" si="2"/>
        <v>107.24333333333334</v>
      </c>
      <c r="M23" s="53">
        <v>117.81</v>
      </c>
      <c r="N23" s="38">
        <f t="shared" si="3"/>
        <v>19.756666666666668</v>
      </c>
      <c r="O23" s="38">
        <f t="shared" si="4"/>
        <v>98.053333333333342</v>
      </c>
      <c r="P23" s="38"/>
      <c r="Q23" s="38"/>
      <c r="R23" s="38">
        <f t="shared" si="5"/>
        <v>9.3724503671471275</v>
      </c>
      <c r="S23" s="9"/>
    </row>
    <row r="24" spans="1:19" x14ac:dyDescent="0.25">
      <c r="A24" s="5" t="s">
        <v>24</v>
      </c>
      <c r="B24" s="9" t="s">
        <v>31</v>
      </c>
      <c r="C24" s="9" t="s">
        <v>32</v>
      </c>
      <c r="D24" s="22">
        <v>45890</v>
      </c>
      <c r="E24" s="9">
        <v>2</v>
      </c>
      <c r="F24" s="10" t="s">
        <v>57</v>
      </c>
      <c r="G24" s="9" t="s">
        <v>85</v>
      </c>
      <c r="H24" s="9">
        <v>108</v>
      </c>
      <c r="I24" s="9" t="s">
        <v>220</v>
      </c>
      <c r="J24" s="38">
        <f t="shared" si="0"/>
        <v>108</v>
      </c>
      <c r="K24" s="38">
        <f t="shared" si="1"/>
        <v>19.756666666666668</v>
      </c>
      <c r="L24" s="38">
        <f t="shared" si="2"/>
        <v>88.243333333333339</v>
      </c>
      <c r="M24" s="53">
        <v>98.36</v>
      </c>
      <c r="N24" s="38">
        <f t="shared" si="3"/>
        <v>19.756666666666668</v>
      </c>
      <c r="O24" s="38">
        <f t="shared" si="4"/>
        <v>78.603333333333325</v>
      </c>
      <c r="P24" s="38"/>
      <c r="Q24" s="38"/>
      <c r="R24" s="38">
        <f t="shared" si="5"/>
        <v>12.26411093677115</v>
      </c>
      <c r="S24" s="9"/>
    </row>
    <row r="25" spans="1:19" x14ac:dyDescent="0.25">
      <c r="A25" s="5" t="s">
        <v>24</v>
      </c>
      <c r="B25" s="9" t="s">
        <v>31</v>
      </c>
      <c r="C25" s="9" t="s">
        <v>33</v>
      </c>
      <c r="D25" s="22">
        <v>45890</v>
      </c>
      <c r="E25" s="9">
        <v>1</v>
      </c>
      <c r="F25" s="10" t="s">
        <v>58</v>
      </c>
      <c r="G25" s="9" t="s">
        <v>85</v>
      </c>
      <c r="H25" s="9">
        <v>69</v>
      </c>
      <c r="I25" s="9" t="s">
        <v>220</v>
      </c>
      <c r="J25" s="38">
        <f t="shared" si="0"/>
        <v>69</v>
      </c>
      <c r="K25" s="38">
        <f t="shared" si="1"/>
        <v>19.756666666666668</v>
      </c>
      <c r="L25" s="38">
        <f t="shared" si="2"/>
        <v>49.243333333333332</v>
      </c>
      <c r="M25" s="53">
        <v>63.74</v>
      </c>
      <c r="N25" s="38">
        <f t="shared" si="3"/>
        <v>19.756666666666668</v>
      </c>
      <c r="O25" s="38">
        <f t="shared" si="4"/>
        <v>43.983333333333334</v>
      </c>
      <c r="P25" s="38"/>
      <c r="Q25" s="38"/>
      <c r="R25" s="38">
        <f t="shared" si="5"/>
        <v>11.959075407351264</v>
      </c>
      <c r="S25" s="9"/>
    </row>
    <row r="26" spans="1:19" x14ac:dyDescent="0.25">
      <c r="A26" s="5" t="s">
        <v>24</v>
      </c>
      <c r="B26" s="9" t="s">
        <v>31</v>
      </c>
      <c r="C26" s="9" t="s">
        <v>34</v>
      </c>
      <c r="D26" s="22">
        <v>45890</v>
      </c>
      <c r="E26" s="9">
        <v>1</v>
      </c>
      <c r="F26" s="10" t="s">
        <v>59</v>
      </c>
      <c r="G26" s="9" t="s">
        <v>85</v>
      </c>
      <c r="H26" s="9">
        <v>65</v>
      </c>
      <c r="I26" s="9" t="s">
        <v>220</v>
      </c>
      <c r="J26" s="38">
        <f t="shared" si="0"/>
        <v>65</v>
      </c>
      <c r="K26" s="38">
        <f t="shared" si="1"/>
        <v>19.756666666666668</v>
      </c>
      <c r="L26" s="38">
        <f t="shared" si="2"/>
        <v>45.243333333333332</v>
      </c>
      <c r="M26" s="53">
        <v>59.31</v>
      </c>
      <c r="N26" s="38">
        <f t="shared" si="3"/>
        <v>19.756666666666668</v>
      </c>
      <c r="O26" s="38">
        <f t="shared" si="4"/>
        <v>39.553333333333335</v>
      </c>
      <c r="P26" s="38"/>
      <c r="Q26" s="38"/>
      <c r="R26" s="38">
        <f t="shared" si="5"/>
        <v>14.385639642676548</v>
      </c>
      <c r="S26" s="9"/>
    </row>
    <row r="27" spans="1:19" x14ac:dyDescent="0.25">
      <c r="A27" s="5" t="s">
        <v>24</v>
      </c>
      <c r="B27" s="9" t="s">
        <v>31</v>
      </c>
      <c r="C27" s="9" t="s">
        <v>35</v>
      </c>
      <c r="D27" s="22">
        <v>45890</v>
      </c>
      <c r="E27" s="9">
        <v>1</v>
      </c>
      <c r="F27" s="10" t="s">
        <v>60</v>
      </c>
      <c r="G27" s="9" t="s">
        <v>85</v>
      </c>
      <c r="H27" s="9">
        <v>63</v>
      </c>
      <c r="I27" s="9" t="s">
        <v>221</v>
      </c>
      <c r="J27" s="38">
        <f t="shared" si="0"/>
        <v>63</v>
      </c>
      <c r="K27" s="38">
        <f t="shared" si="1"/>
        <v>19.756666666666668</v>
      </c>
      <c r="L27" s="38">
        <f t="shared" si="2"/>
        <v>43.243333333333332</v>
      </c>
      <c r="M27" s="53">
        <v>58.7</v>
      </c>
      <c r="N27" s="38">
        <f t="shared" si="3"/>
        <v>19.756666666666668</v>
      </c>
      <c r="O27" s="38">
        <f t="shared" si="4"/>
        <v>38.943333333333335</v>
      </c>
      <c r="P27" s="38"/>
      <c r="Q27" s="38"/>
      <c r="R27" s="38">
        <f t="shared" si="5"/>
        <v>11.041684498844468</v>
      </c>
      <c r="S27" s="9"/>
    </row>
    <row r="28" spans="1:19" x14ac:dyDescent="0.25">
      <c r="A28" s="5" t="s">
        <v>24</v>
      </c>
      <c r="B28" s="9" t="s">
        <v>31</v>
      </c>
      <c r="C28" s="9" t="s">
        <v>36</v>
      </c>
      <c r="D28" s="22">
        <v>45890</v>
      </c>
      <c r="E28" s="9">
        <v>1</v>
      </c>
      <c r="F28" s="10" t="s">
        <v>61</v>
      </c>
      <c r="G28" s="9" t="s">
        <v>85</v>
      </c>
      <c r="H28" s="9">
        <v>61</v>
      </c>
      <c r="I28" s="9" t="s">
        <v>221</v>
      </c>
      <c r="J28" s="38">
        <f t="shared" si="0"/>
        <v>61</v>
      </c>
      <c r="K28" s="38">
        <f t="shared" si="1"/>
        <v>19.756666666666668</v>
      </c>
      <c r="L28" s="38">
        <f t="shared" si="2"/>
        <v>41.243333333333332</v>
      </c>
      <c r="M28" s="53">
        <v>55.52</v>
      </c>
      <c r="N28" s="38">
        <f t="shared" si="3"/>
        <v>19.756666666666668</v>
      </c>
      <c r="O28" s="38">
        <f t="shared" si="4"/>
        <v>35.763333333333335</v>
      </c>
      <c r="P28" s="38"/>
      <c r="Q28" s="38"/>
      <c r="R28" s="38">
        <f t="shared" si="5"/>
        <v>15.322956473110253</v>
      </c>
      <c r="S28" s="9"/>
    </row>
    <row r="29" spans="1:19" x14ac:dyDescent="0.25">
      <c r="A29" s="5" t="s">
        <v>24</v>
      </c>
      <c r="B29" s="9" t="s">
        <v>31</v>
      </c>
      <c r="C29" s="9" t="s">
        <v>37</v>
      </c>
      <c r="D29" s="22">
        <v>45890</v>
      </c>
      <c r="E29" s="9">
        <v>1</v>
      </c>
      <c r="F29" s="10" t="s">
        <v>62</v>
      </c>
      <c r="G29" s="9" t="s">
        <v>85</v>
      </c>
      <c r="H29" s="9">
        <v>56</v>
      </c>
      <c r="I29" s="9" t="s">
        <v>222</v>
      </c>
      <c r="J29" s="38">
        <f t="shared" si="0"/>
        <v>56</v>
      </c>
      <c r="K29" s="38">
        <f t="shared" si="1"/>
        <v>19.756666666666668</v>
      </c>
      <c r="L29" s="38">
        <f t="shared" si="2"/>
        <v>36.243333333333332</v>
      </c>
      <c r="M29" s="53">
        <v>51.87</v>
      </c>
      <c r="N29" s="38">
        <f t="shared" si="3"/>
        <v>19.756666666666668</v>
      </c>
      <c r="O29" s="38">
        <f t="shared" si="4"/>
        <v>32.11333333333333</v>
      </c>
      <c r="P29" s="38"/>
      <c r="Q29" s="38"/>
      <c r="R29" s="38">
        <f t="shared" si="5"/>
        <v>12.860701681544541</v>
      </c>
      <c r="S29" s="9"/>
    </row>
    <row r="30" spans="1:19" x14ac:dyDescent="0.25">
      <c r="A30" s="5" t="s">
        <v>24</v>
      </c>
      <c r="B30" s="9" t="s">
        <v>31</v>
      </c>
      <c r="C30" s="9" t="s">
        <v>38</v>
      </c>
      <c r="D30" s="22">
        <v>45890</v>
      </c>
      <c r="E30" s="9">
        <v>1</v>
      </c>
      <c r="F30" s="10" t="s">
        <v>63</v>
      </c>
      <c r="G30" s="9" t="s">
        <v>85</v>
      </c>
      <c r="H30" s="9">
        <v>60</v>
      </c>
      <c r="I30" s="9" t="s">
        <v>222</v>
      </c>
      <c r="J30" s="38">
        <f t="shared" si="0"/>
        <v>60</v>
      </c>
      <c r="K30" s="38">
        <f t="shared" si="1"/>
        <v>19.756666666666668</v>
      </c>
      <c r="L30" s="38">
        <f t="shared" si="2"/>
        <v>40.243333333333332</v>
      </c>
      <c r="M30" s="53">
        <v>55.71</v>
      </c>
      <c r="N30" s="38">
        <f t="shared" si="3"/>
        <v>19.756666666666668</v>
      </c>
      <c r="O30" s="38">
        <f t="shared" si="4"/>
        <v>35.953333333333333</v>
      </c>
      <c r="P30" s="38"/>
      <c r="Q30" s="38"/>
      <c r="R30" s="38">
        <f t="shared" si="5"/>
        <v>11.932134248099386</v>
      </c>
      <c r="S30" s="9"/>
    </row>
    <row r="31" spans="1:19" x14ac:dyDescent="0.25">
      <c r="A31" s="5" t="s">
        <v>24</v>
      </c>
      <c r="B31" s="9" t="s">
        <v>31</v>
      </c>
      <c r="C31" s="9" t="s">
        <v>39</v>
      </c>
      <c r="D31" s="22">
        <v>45890</v>
      </c>
      <c r="E31" s="9">
        <v>1</v>
      </c>
      <c r="F31" s="10" t="s">
        <v>64</v>
      </c>
      <c r="G31" s="9" t="s">
        <v>85</v>
      </c>
      <c r="H31" s="9">
        <v>57</v>
      </c>
      <c r="I31" s="9" t="s">
        <v>222</v>
      </c>
      <c r="J31" s="38">
        <f t="shared" si="0"/>
        <v>57</v>
      </c>
      <c r="K31" s="38">
        <f t="shared" si="1"/>
        <v>19.756666666666668</v>
      </c>
      <c r="L31" s="38">
        <f t="shared" si="2"/>
        <v>37.243333333333332</v>
      </c>
      <c r="M31" s="53">
        <v>52.95</v>
      </c>
      <c r="N31" s="38">
        <f t="shared" si="3"/>
        <v>19.756666666666668</v>
      </c>
      <c r="O31" s="38">
        <f t="shared" si="4"/>
        <v>33.193333333333335</v>
      </c>
      <c r="P31" s="38"/>
      <c r="Q31" s="38"/>
      <c r="R31" s="38">
        <f t="shared" si="5"/>
        <v>12.201245229965847</v>
      </c>
      <c r="S31" s="9"/>
    </row>
    <row r="32" spans="1:19" x14ac:dyDescent="0.25">
      <c r="A32" s="5" t="s">
        <v>24</v>
      </c>
      <c r="B32" s="9" t="s">
        <v>31</v>
      </c>
      <c r="C32" s="9" t="s">
        <v>40</v>
      </c>
      <c r="D32" s="22">
        <v>45890</v>
      </c>
      <c r="E32" s="9">
        <v>1</v>
      </c>
      <c r="F32" s="10" t="s">
        <v>65</v>
      </c>
      <c r="G32" s="9" t="s">
        <v>85</v>
      </c>
      <c r="H32" s="9">
        <v>58</v>
      </c>
      <c r="I32" s="9" t="s">
        <v>222</v>
      </c>
      <c r="J32" s="38">
        <f t="shared" si="0"/>
        <v>58</v>
      </c>
      <c r="K32" s="38">
        <f t="shared" si="1"/>
        <v>19.756666666666668</v>
      </c>
      <c r="L32" s="38">
        <f t="shared" si="2"/>
        <v>38.243333333333332</v>
      </c>
      <c r="M32" s="53">
        <v>53.33</v>
      </c>
      <c r="N32" s="38">
        <f t="shared" si="3"/>
        <v>19.756666666666668</v>
      </c>
      <c r="O32" s="38">
        <f t="shared" si="4"/>
        <v>33.573333333333331</v>
      </c>
      <c r="P32" s="38"/>
      <c r="Q32" s="38"/>
      <c r="R32" s="38">
        <f t="shared" si="5"/>
        <v>13.909849086576653</v>
      </c>
      <c r="S32" s="9"/>
    </row>
    <row r="33" spans="1:19" x14ac:dyDescent="0.25">
      <c r="A33" s="5" t="s">
        <v>24</v>
      </c>
      <c r="B33" s="9" t="s">
        <v>31</v>
      </c>
      <c r="C33" s="9" t="s">
        <v>41</v>
      </c>
      <c r="D33" s="22">
        <v>45890</v>
      </c>
      <c r="E33" s="9">
        <v>1</v>
      </c>
      <c r="F33" s="10" t="s">
        <v>66</v>
      </c>
      <c r="G33" s="9" t="s">
        <v>85</v>
      </c>
      <c r="H33" s="9">
        <v>54</v>
      </c>
      <c r="I33" s="9" t="s">
        <v>222</v>
      </c>
      <c r="J33" s="38">
        <f t="shared" si="0"/>
        <v>54</v>
      </c>
      <c r="K33" s="38">
        <f t="shared" si="1"/>
        <v>19.756666666666668</v>
      </c>
      <c r="L33" s="38">
        <f t="shared" si="2"/>
        <v>34.243333333333332</v>
      </c>
      <c r="M33" s="53">
        <v>50.92</v>
      </c>
      <c r="N33" s="38">
        <f t="shared" si="3"/>
        <v>19.756666666666668</v>
      </c>
      <c r="O33" s="38">
        <f t="shared" si="4"/>
        <v>31.163333333333334</v>
      </c>
      <c r="P33" s="38"/>
      <c r="Q33" s="38"/>
      <c r="R33" s="38">
        <f t="shared" si="5"/>
        <v>9.8834099903732966</v>
      </c>
      <c r="S33" s="9"/>
    </row>
    <row r="34" spans="1:19" x14ac:dyDescent="0.25">
      <c r="A34" s="5" t="s">
        <v>24</v>
      </c>
      <c r="B34" s="9" t="s">
        <v>31</v>
      </c>
      <c r="C34" s="9" t="s">
        <v>42</v>
      </c>
      <c r="D34" s="22">
        <v>45890</v>
      </c>
      <c r="E34" s="9">
        <v>1</v>
      </c>
      <c r="F34" s="10" t="s">
        <v>67</v>
      </c>
      <c r="G34" s="9" t="s">
        <v>85</v>
      </c>
      <c r="H34" s="9">
        <v>57</v>
      </c>
      <c r="I34" s="9" t="s">
        <v>222</v>
      </c>
      <c r="J34" s="38">
        <f t="shared" si="0"/>
        <v>57</v>
      </c>
      <c r="K34" s="38">
        <f t="shared" si="1"/>
        <v>19.756666666666668</v>
      </c>
      <c r="L34" s="38">
        <f t="shared" si="2"/>
        <v>37.243333333333332</v>
      </c>
      <c r="M34" s="53">
        <v>53.29</v>
      </c>
      <c r="N34" s="38">
        <f t="shared" si="3"/>
        <v>19.756666666666668</v>
      </c>
      <c r="O34" s="38">
        <f t="shared" si="4"/>
        <v>33.533333333333331</v>
      </c>
      <c r="P34" s="38"/>
      <c r="Q34" s="38"/>
      <c r="R34" s="38">
        <f t="shared" si="5"/>
        <v>11.063618290258452</v>
      </c>
      <c r="S34" s="9"/>
    </row>
    <row r="35" spans="1:19" s="35" customFormat="1" ht="15.75" thickBot="1" x14ac:dyDescent="0.3">
      <c r="A35" s="19" t="s">
        <v>24</v>
      </c>
      <c r="B35" s="11" t="s">
        <v>31</v>
      </c>
      <c r="C35" s="11" t="s">
        <v>43</v>
      </c>
      <c r="D35" s="23">
        <v>45890</v>
      </c>
      <c r="E35" s="36"/>
      <c r="F35" s="14" t="s">
        <v>68</v>
      </c>
      <c r="G35" s="11" t="s">
        <v>85</v>
      </c>
      <c r="H35" s="11">
        <v>167</v>
      </c>
      <c r="I35" s="11" t="s">
        <v>223</v>
      </c>
      <c r="J35" s="41">
        <f t="shared" si="0"/>
        <v>167</v>
      </c>
      <c r="K35" s="41">
        <f t="shared" si="1"/>
        <v>19.756666666666668</v>
      </c>
      <c r="L35" s="41">
        <f t="shared" si="2"/>
        <v>147.24333333333334</v>
      </c>
      <c r="M35" s="54">
        <v>148.71</v>
      </c>
      <c r="N35" s="41">
        <f t="shared" si="3"/>
        <v>19.756666666666668</v>
      </c>
      <c r="O35" s="41">
        <f t="shared" si="4"/>
        <v>128.95333333333335</v>
      </c>
      <c r="P35" s="41">
        <v>4.5</v>
      </c>
      <c r="Q35" s="41"/>
      <c r="R35" s="41">
        <f t="shared" si="5"/>
        <v>14.183425528614995</v>
      </c>
      <c r="S35" s="11" t="s">
        <v>382</v>
      </c>
    </row>
    <row r="36" spans="1:19" ht="30" x14ac:dyDescent="0.25">
      <c r="A36" s="20" t="s">
        <v>24</v>
      </c>
      <c r="B36" s="12" t="s">
        <v>29</v>
      </c>
      <c r="C36" s="12" t="s">
        <v>392</v>
      </c>
      <c r="D36" s="24">
        <v>45888</v>
      </c>
      <c r="E36" s="12">
        <v>2</v>
      </c>
      <c r="F36" s="13" t="s">
        <v>48</v>
      </c>
      <c r="G36" s="12" t="s">
        <v>74</v>
      </c>
      <c r="H36" s="12">
        <v>116</v>
      </c>
      <c r="I36" s="12" t="s">
        <v>187</v>
      </c>
      <c r="J36" s="40">
        <f t="shared" si="0"/>
        <v>116</v>
      </c>
      <c r="K36" s="40">
        <f t="shared" si="1"/>
        <v>19.756666666666668</v>
      </c>
      <c r="L36" s="40">
        <f t="shared" si="2"/>
        <v>96.243333333333339</v>
      </c>
      <c r="M36" s="52">
        <v>121.84</v>
      </c>
      <c r="N36" s="40">
        <f t="shared" si="3"/>
        <v>19.756666666666668</v>
      </c>
      <c r="O36" s="40">
        <f t="shared" si="4"/>
        <v>102.08333333333334</v>
      </c>
      <c r="P36" s="40"/>
      <c r="Q36" s="40"/>
      <c r="R36" s="40">
        <f t="shared" si="5"/>
        <v>-5.7208163265306151</v>
      </c>
      <c r="S36" s="12" t="s">
        <v>388</v>
      </c>
    </row>
    <row r="37" spans="1:19" ht="30" x14ac:dyDescent="0.25">
      <c r="A37" s="5" t="s">
        <v>24</v>
      </c>
      <c r="B37" s="9" t="s">
        <v>29</v>
      </c>
      <c r="C37" s="9" t="s">
        <v>393</v>
      </c>
      <c r="D37" s="22">
        <v>45888</v>
      </c>
      <c r="E37" s="9">
        <v>2</v>
      </c>
      <c r="F37" s="10" t="s">
        <v>49</v>
      </c>
      <c r="G37" s="9" t="s">
        <v>74</v>
      </c>
      <c r="H37" s="9">
        <v>110</v>
      </c>
      <c r="I37" s="9" t="s">
        <v>188</v>
      </c>
      <c r="J37" s="38">
        <f t="shared" si="0"/>
        <v>110</v>
      </c>
      <c r="K37" s="38">
        <f t="shared" si="1"/>
        <v>19.756666666666668</v>
      </c>
      <c r="L37" s="38">
        <f t="shared" si="2"/>
        <v>90.243333333333339</v>
      </c>
      <c r="M37" s="53">
        <v>113.95</v>
      </c>
      <c r="N37" s="38">
        <f t="shared" si="3"/>
        <v>19.756666666666668</v>
      </c>
      <c r="O37" s="38">
        <f t="shared" si="4"/>
        <v>94.193333333333328</v>
      </c>
      <c r="P37" s="38"/>
      <c r="Q37" s="38"/>
      <c r="R37" s="38">
        <f t="shared" si="5"/>
        <v>-4.1935027248920544</v>
      </c>
      <c r="S37" s="9" t="s">
        <v>387</v>
      </c>
    </row>
    <row r="38" spans="1:19" ht="30" x14ac:dyDescent="0.25">
      <c r="A38" s="5" t="s">
        <v>24</v>
      </c>
      <c r="B38" s="9" t="s">
        <v>29</v>
      </c>
      <c r="C38" s="9" t="s">
        <v>394</v>
      </c>
      <c r="D38" s="22">
        <v>45888</v>
      </c>
      <c r="E38" s="9">
        <v>2</v>
      </c>
      <c r="F38" s="10" t="s">
        <v>50</v>
      </c>
      <c r="G38" s="9" t="s">
        <v>85</v>
      </c>
      <c r="H38" s="9">
        <v>94</v>
      </c>
      <c r="I38" s="9" t="s">
        <v>188</v>
      </c>
      <c r="J38" s="38">
        <f t="shared" si="0"/>
        <v>94</v>
      </c>
      <c r="K38" s="38">
        <f t="shared" si="1"/>
        <v>19.756666666666668</v>
      </c>
      <c r="L38" s="38">
        <f t="shared" si="2"/>
        <v>74.243333333333339</v>
      </c>
      <c r="M38" s="53">
        <v>98.05</v>
      </c>
      <c r="N38" s="38">
        <f t="shared" si="3"/>
        <v>19.756666666666668</v>
      </c>
      <c r="O38" s="38">
        <f t="shared" si="4"/>
        <v>78.293333333333322</v>
      </c>
      <c r="P38" s="38"/>
      <c r="Q38" s="38"/>
      <c r="R38" s="38">
        <f t="shared" si="5"/>
        <v>-5.1728542234332213</v>
      </c>
      <c r="S38" s="9" t="s">
        <v>387</v>
      </c>
    </row>
    <row r="39" spans="1:19" x14ac:dyDescent="0.25">
      <c r="A39" s="5" t="s">
        <v>24</v>
      </c>
      <c r="B39" s="9" t="s">
        <v>29</v>
      </c>
      <c r="C39" s="9" t="s">
        <v>395</v>
      </c>
      <c r="D39" s="22">
        <v>45888</v>
      </c>
      <c r="E39" s="9">
        <v>2</v>
      </c>
      <c r="F39" s="10" t="s">
        <v>51</v>
      </c>
      <c r="G39" s="9" t="s">
        <v>85</v>
      </c>
      <c r="H39" s="9">
        <v>114</v>
      </c>
      <c r="I39" s="9" t="s">
        <v>189</v>
      </c>
      <c r="J39" s="38">
        <f t="shared" si="0"/>
        <v>114</v>
      </c>
      <c r="K39" s="38">
        <f t="shared" si="1"/>
        <v>19.756666666666668</v>
      </c>
      <c r="L39" s="38">
        <f t="shared" si="2"/>
        <v>94.243333333333339</v>
      </c>
      <c r="M39" s="53">
        <v>109.39</v>
      </c>
      <c r="N39" s="38">
        <f t="shared" si="3"/>
        <v>19.756666666666668</v>
      </c>
      <c r="O39" s="38">
        <f t="shared" si="4"/>
        <v>89.633333333333326</v>
      </c>
      <c r="P39" s="38"/>
      <c r="Q39" s="38"/>
      <c r="R39" s="38">
        <f t="shared" si="5"/>
        <v>5.1431759018222545</v>
      </c>
      <c r="S39" s="9"/>
    </row>
    <row r="40" spans="1:19" x14ac:dyDescent="0.25">
      <c r="A40" s="5" t="s">
        <v>24</v>
      </c>
      <c r="B40" s="9" t="s">
        <v>29</v>
      </c>
      <c r="C40" s="9" t="s">
        <v>396</v>
      </c>
      <c r="D40" s="22">
        <v>45888</v>
      </c>
      <c r="E40" s="9">
        <v>2</v>
      </c>
      <c r="F40" s="10" t="s">
        <v>52</v>
      </c>
      <c r="G40" s="9" t="s">
        <v>85</v>
      </c>
      <c r="H40" s="9">
        <v>142</v>
      </c>
      <c r="I40" s="9" t="s">
        <v>190</v>
      </c>
      <c r="J40" s="38">
        <f t="shared" si="0"/>
        <v>142</v>
      </c>
      <c r="K40" s="38">
        <f t="shared" si="1"/>
        <v>19.756666666666668</v>
      </c>
      <c r="L40" s="38">
        <f t="shared" si="2"/>
        <v>122.24333333333334</v>
      </c>
      <c r="M40" s="53">
        <v>135.63999999999999</v>
      </c>
      <c r="N40" s="38">
        <f t="shared" si="3"/>
        <v>19.756666666666668</v>
      </c>
      <c r="O40" s="38">
        <f t="shared" si="4"/>
        <v>115.88333333333333</v>
      </c>
      <c r="P40" s="38"/>
      <c r="Q40" s="38"/>
      <c r="R40" s="38">
        <f t="shared" si="5"/>
        <v>5.4882784409607481</v>
      </c>
      <c r="S40" s="9"/>
    </row>
    <row r="41" spans="1:19" x14ac:dyDescent="0.25">
      <c r="A41" s="5" t="s">
        <v>24</v>
      </c>
      <c r="B41" s="9" t="s">
        <v>29</v>
      </c>
      <c r="C41" s="9" t="s">
        <v>397</v>
      </c>
      <c r="D41" s="22">
        <v>45888</v>
      </c>
      <c r="E41" s="9">
        <v>2</v>
      </c>
      <c r="F41" s="10" t="s">
        <v>53</v>
      </c>
      <c r="G41" s="9" t="s">
        <v>85</v>
      </c>
      <c r="H41" s="9">
        <v>123</v>
      </c>
      <c r="I41" s="9" t="s">
        <v>190</v>
      </c>
      <c r="J41" s="38">
        <f t="shared" si="0"/>
        <v>123</v>
      </c>
      <c r="K41" s="38">
        <f t="shared" si="1"/>
        <v>19.756666666666668</v>
      </c>
      <c r="L41" s="38">
        <f t="shared" si="2"/>
        <v>103.24333333333334</v>
      </c>
      <c r="M41" s="53">
        <v>115.77</v>
      </c>
      <c r="N41" s="38">
        <f t="shared" si="3"/>
        <v>19.756666666666668</v>
      </c>
      <c r="O41" s="38">
        <f t="shared" si="4"/>
        <v>96.013333333333321</v>
      </c>
      <c r="P41" s="38"/>
      <c r="Q41" s="38"/>
      <c r="R41" s="38">
        <f t="shared" si="5"/>
        <v>7.5302041383141436</v>
      </c>
      <c r="S41" s="9"/>
    </row>
    <row r="42" spans="1:19" x14ac:dyDescent="0.25">
      <c r="A42" s="5" t="s">
        <v>24</v>
      </c>
      <c r="B42" s="9" t="s">
        <v>29</v>
      </c>
      <c r="C42" s="9" t="s">
        <v>398</v>
      </c>
      <c r="D42" s="22">
        <v>45888</v>
      </c>
      <c r="E42" s="9">
        <v>2</v>
      </c>
      <c r="F42" s="10" t="s">
        <v>54</v>
      </c>
      <c r="G42" s="9" t="s">
        <v>85</v>
      </c>
      <c r="H42" s="9">
        <v>122</v>
      </c>
      <c r="I42" s="9" t="s">
        <v>190</v>
      </c>
      <c r="J42" s="38">
        <f t="shared" si="0"/>
        <v>122</v>
      </c>
      <c r="K42" s="38">
        <f t="shared" si="1"/>
        <v>19.756666666666668</v>
      </c>
      <c r="L42" s="38">
        <f t="shared" si="2"/>
        <v>102.24333333333334</v>
      </c>
      <c r="M42" s="53">
        <v>115.66</v>
      </c>
      <c r="N42" s="38">
        <f t="shared" si="3"/>
        <v>19.756666666666668</v>
      </c>
      <c r="O42" s="38">
        <f t="shared" si="4"/>
        <v>95.903333333333336</v>
      </c>
      <c r="P42" s="38"/>
      <c r="Q42" s="38"/>
      <c r="R42" s="38">
        <f t="shared" si="5"/>
        <v>6.6108233985610543</v>
      </c>
      <c r="S42" s="9"/>
    </row>
    <row r="43" spans="1:19" ht="30" x14ac:dyDescent="0.25">
      <c r="A43" s="5" t="s">
        <v>24</v>
      </c>
      <c r="B43" s="9" t="s">
        <v>29</v>
      </c>
      <c r="C43" s="9" t="s">
        <v>399</v>
      </c>
      <c r="D43" s="22">
        <v>45888</v>
      </c>
      <c r="E43" s="9">
        <v>2</v>
      </c>
      <c r="F43" s="10" t="s">
        <v>55</v>
      </c>
      <c r="G43" s="9" t="s">
        <v>85</v>
      </c>
      <c r="H43" s="9">
        <v>124</v>
      </c>
      <c r="I43" s="9" t="s">
        <v>191</v>
      </c>
      <c r="J43" s="38">
        <f t="shared" si="0"/>
        <v>124</v>
      </c>
      <c r="K43" s="38">
        <f t="shared" si="1"/>
        <v>19.756666666666668</v>
      </c>
      <c r="L43" s="38">
        <f t="shared" si="2"/>
        <v>104.24333333333334</v>
      </c>
      <c r="M43" s="53">
        <v>117.88</v>
      </c>
      <c r="N43" s="38">
        <f t="shared" si="3"/>
        <v>19.756666666666668</v>
      </c>
      <c r="O43" s="38">
        <f t="shared" si="4"/>
        <v>98.123333333333335</v>
      </c>
      <c r="P43" s="38"/>
      <c r="Q43" s="38"/>
      <c r="R43" s="38">
        <f t="shared" si="5"/>
        <v>6.2370486122906588</v>
      </c>
      <c r="S43" s="9"/>
    </row>
    <row r="44" spans="1:19" x14ac:dyDescent="0.25">
      <c r="A44" s="5" t="s">
        <v>24</v>
      </c>
      <c r="B44" s="9" t="s">
        <v>29</v>
      </c>
      <c r="C44" s="9" t="s">
        <v>400</v>
      </c>
      <c r="D44" s="22">
        <v>45888</v>
      </c>
      <c r="E44" s="9">
        <v>2</v>
      </c>
      <c r="F44" s="10" t="s">
        <v>56</v>
      </c>
      <c r="G44" s="9" t="s">
        <v>85</v>
      </c>
      <c r="H44" s="9">
        <v>125</v>
      </c>
      <c r="I44" s="9" t="s">
        <v>192</v>
      </c>
      <c r="J44" s="38">
        <f t="shared" si="0"/>
        <v>125</v>
      </c>
      <c r="K44" s="38">
        <f t="shared" si="1"/>
        <v>19.756666666666668</v>
      </c>
      <c r="L44" s="38">
        <f t="shared" si="2"/>
        <v>105.24333333333334</v>
      </c>
      <c r="M44" s="53">
        <v>118.48</v>
      </c>
      <c r="N44" s="38">
        <f t="shared" si="3"/>
        <v>19.756666666666668</v>
      </c>
      <c r="O44" s="38">
        <f t="shared" si="4"/>
        <v>98.723333333333329</v>
      </c>
      <c r="P44" s="38"/>
      <c r="Q44" s="38"/>
      <c r="R44" s="38">
        <f t="shared" si="5"/>
        <v>6.6043150893068283</v>
      </c>
      <c r="S44" s="9"/>
    </row>
    <row r="45" spans="1:19" x14ac:dyDescent="0.25">
      <c r="A45" s="5" t="s">
        <v>24</v>
      </c>
      <c r="B45" s="9" t="s">
        <v>29</v>
      </c>
      <c r="C45" s="9" t="s">
        <v>32</v>
      </c>
      <c r="D45" s="22">
        <v>45888</v>
      </c>
      <c r="E45" s="9">
        <v>2</v>
      </c>
      <c r="F45" s="10" t="s">
        <v>57</v>
      </c>
      <c r="G45" s="9" t="s">
        <v>85</v>
      </c>
      <c r="H45" s="9">
        <v>108</v>
      </c>
      <c r="I45" s="9" t="s">
        <v>193</v>
      </c>
      <c r="J45" s="38">
        <f t="shared" si="0"/>
        <v>108</v>
      </c>
      <c r="K45" s="38">
        <f t="shared" si="1"/>
        <v>19.756666666666668</v>
      </c>
      <c r="L45" s="38">
        <f t="shared" si="2"/>
        <v>88.243333333333339</v>
      </c>
      <c r="M45" s="53">
        <v>101.73</v>
      </c>
      <c r="N45" s="38">
        <f t="shared" si="3"/>
        <v>19.756666666666668</v>
      </c>
      <c r="O45" s="38">
        <f t="shared" si="4"/>
        <v>81.973333333333329</v>
      </c>
      <c r="P45" s="38"/>
      <c r="Q45" s="38"/>
      <c r="R45" s="38">
        <f t="shared" si="5"/>
        <v>7.6488288874430834</v>
      </c>
      <c r="S45" s="9"/>
    </row>
    <row r="46" spans="1:19" x14ac:dyDescent="0.25">
      <c r="A46" s="5" t="s">
        <v>24</v>
      </c>
      <c r="B46" s="9" t="s">
        <v>29</v>
      </c>
      <c r="C46" s="9" t="s">
        <v>33</v>
      </c>
      <c r="D46" s="22">
        <v>45888</v>
      </c>
      <c r="E46" s="9">
        <v>1</v>
      </c>
      <c r="F46" s="10" t="s">
        <v>58</v>
      </c>
      <c r="G46" s="9" t="s">
        <v>85</v>
      </c>
      <c r="H46" s="9">
        <v>71</v>
      </c>
      <c r="I46" s="9" t="s">
        <v>193</v>
      </c>
      <c r="J46" s="38">
        <f t="shared" si="0"/>
        <v>71</v>
      </c>
      <c r="K46" s="38">
        <f t="shared" si="1"/>
        <v>19.756666666666668</v>
      </c>
      <c r="L46" s="38">
        <f t="shared" si="2"/>
        <v>51.243333333333332</v>
      </c>
      <c r="M46" s="53">
        <v>64.599999999999994</v>
      </c>
      <c r="N46" s="38">
        <f t="shared" si="3"/>
        <v>19.756666666666668</v>
      </c>
      <c r="O46" s="38">
        <f t="shared" si="4"/>
        <v>44.843333333333327</v>
      </c>
      <c r="P46" s="38"/>
      <c r="Q46" s="38"/>
      <c r="R46" s="38">
        <f t="shared" si="5"/>
        <v>14.271909611239145</v>
      </c>
      <c r="S46" s="9"/>
    </row>
    <row r="47" spans="1:19" x14ac:dyDescent="0.25">
      <c r="A47" s="5" t="s">
        <v>24</v>
      </c>
      <c r="B47" s="9" t="s">
        <v>29</v>
      </c>
      <c r="C47" s="9" t="s">
        <v>34</v>
      </c>
      <c r="D47" s="22">
        <v>45888</v>
      </c>
      <c r="E47" s="9">
        <v>1</v>
      </c>
      <c r="F47" s="10" t="s">
        <v>59</v>
      </c>
      <c r="G47" s="9" t="s">
        <v>85</v>
      </c>
      <c r="H47" s="9">
        <v>62</v>
      </c>
      <c r="I47" s="9" t="s">
        <v>194</v>
      </c>
      <c r="J47" s="38">
        <f t="shared" si="0"/>
        <v>62</v>
      </c>
      <c r="K47" s="38">
        <f t="shared" si="1"/>
        <v>19.756666666666668</v>
      </c>
      <c r="L47" s="38">
        <f t="shared" si="2"/>
        <v>42.243333333333332</v>
      </c>
      <c r="M47" s="53">
        <v>59.4</v>
      </c>
      <c r="N47" s="38">
        <f t="shared" si="3"/>
        <v>19.756666666666668</v>
      </c>
      <c r="O47" s="38">
        <f t="shared" si="4"/>
        <v>39.643333333333331</v>
      </c>
      <c r="P47" s="38"/>
      <c r="Q47" s="38"/>
      <c r="R47" s="38">
        <f t="shared" ref="R47:R78" si="6">((L47-O47)/O47)*100</f>
        <v>6.5584797780206889</v>
      </c>
      <c r="S47" s="9"/>
    </row>
    <row r="48" spans="1:19" x14ac:dyDescent="0.25">
      <c r="A48" s="5" t="s">
        <v>24</v>
      </c>
      <c r="B48" s="9" t="s">
        <v>29</v>
      </c>
      <c r="C48" s="9" t="s">
        <v>35</v>
      </c>
      <c r="D48" s="22">
        <v>45888</v>
      </c>
      <c r="E48" s="9">
        <v>1</v>
      </c>
      <c r="F48" s="10" t="s">
        <v>60</v>
      </c>
      <c r="G48" s="9" t="s">
        <v>74</v>
      </c>
      <c r="H48" s="9">
        <v>60</v>
      </c>
      <c r="I48" s="9" t="s">
        <v>194</v>
      </c>
      <c r="J48" s="38">
        <f t="shared" si="0"/>
        <v>60</v>
      </c>
      <c r="K48" s="38">
        <f t="shared" si="1"/>
        <v>19.756666666666668</v>
      </c>
      <c r="L48" s="38">
        <f t="shared" si="2"/>
        <v>40.243333333333332</v>
      </c>
      <c r="M48" s="53">
        <v>56.83</v>
      </c>
      <c r="N48" s="38">
        <f t="shared" si="3"/>
        <v>19.756666666666668</v>
      </c>
      <c r="O48" s="38">
        <f t="shared" si="4"/>
        <v>37.073333333333331</v>
      </c>
      <c r="P48" s="38"/>
      <c r="Q48" s="38"/>
      <c r="R48" s="38">
        <f t="shared" si="6"/>
        <v>8.5506203920158299</v>
      </c>
      <c r="S48" s="9"/>
    </row>
    <row r="49" spans="1:19" x14ac:dyDescent="0.25">
      <c r="A49" s="5" t="s">
        <v>24</v>
      </c>
      <c r="B49" s="9" t="s">
        <v>29</v>
      </c>
      <c r="C49" s="9" t="s">
        <v>36</v>
      </c>
      <c r="D49" s="22">
        <v>45888</v>
      </c>
      <c r="E49" s="9">
        <v>1</v>
      </c>
      <c r="F49" s="10" t="s">
        <v>61</v>
      </c>
      <c r="G49" s="9" t="s">
        <v>74</v>
      </c>
      <c r="H49" s="9">
        <v>62</v>
      </c>
      <c r="I49" s="9" t="s">
        <v>194</v>
      </c>
      <c r="J49" s="38">
        <f t="shared" si="0"/>
        <v>62</v>
      </c>
      <c r="K49" s="38">
        <f t="shared" si="1"/>
        <v>19.756666666666668</v>
      </c>
      <c r="L49" s="38">
        <f t="shared" si="2"/>
        <v>42.243333333333332</v>
      </c>
      <c r="M49" s="53">
        <v>57.54</v>
      </c>
      <c r="N49" s="38">
        <f t="shared" si="3"/>
        <v>19.756666666666668</v>
      </c>
      <c r="O49" s="38">
        <f t="shared" si="4"/>
        <v>37.783333333333331</v>
      </c>
      <c r="P49" s="38"/>
      <c r="Q49" s="38"/>
      <c r="R49" s="38">
        <f t="shared" si="6"/>
        <v>11.804146449051613</v>
      </c>
      <c r="S49" s="9"/>
    </row>
    <row r="50" spans="1:19" x14ac:dyDescent="0.25">
      <c r="A50" s="5" t="s">
        <v>24</v>
      </c>
      <c r="B50" s="9" t="s">
        <v>29</v>
      </c>
      <c r="C50" s="9" t="s">
        <v>37</v>
      </c>
      <c r="D50" s="22">
        <v>45888</v>
      </c>
      <c r="E50" s="9">
        <v>1</v>
      </c>
      <c r="F50" s="10" t="s">
        <v>62</v>
      </c>
      <c r="G50" s="9" t="s">
        <v>74</v>
      </c>
      <c r="H50" s="9">
        <v>69</v>
      </c>
      <c r="I50" s="9" t="s">
        <v>194</v>
      </c>
      <c r="J50" s="38">
        <f t="shared" si="0"/>
        <v>69</v>
      </c>
      <c r="K50" s="38">
        <f t="shared" si="1"/>
        <v>19.756666666666668</v>
      </c>
      <c r="L50" s="38">
        <f t="shared" si="2"/>
        <v>49.243333333333332</v>
      </c>
      <c r="M50" s="53">
        <v>65.319999999999993</v>
      </c>
      <c r="N50" s="38">
        <f t="shared" si="3"/>
        <v>19.756666666666668</v>
      </c>
      <c r="O50" s="38">
        <f t="shared" si="4"/>
        <v>45.563333333333325</v>
      </c>
      <c r="P50" s="38"/>
      <c r="Q50" s="38"/>
      <c r="R50" s="38">
        <f t="shared" si="6"/>
        <v>8.0766698368571372</v>
      </c>
      <c r="S50" s="9"/>
    </row>
    <row r="51" spans="1:19" x14ac:dyDescent="0.25">
      <c r="A51" s="5" t="s">
        <v>24</v>
      </c>
      <c r="B51" s="9" t="s">
        <v>29</v>
      </c>
      <c r="C51" s="9" t="s">
        <v>38</v>
      </c>
      <c r="D51" s="22">
        <v>45888</v>
      </c>
      <c r="E51" s="9">
        <v>1</v>
      </c>
      <c r="F51" s="10" t="s">
        <v>63</v>
      </c>
      <c r="G51" s="9" t="s">
        <v>74</v>
      </c>
      <c r="H51" s="9">
        <v>69</v>
      </c>
      <c r="I51" s="9" t="s">
        <v>195</v>
      </c>
      <c r="J51" s="38">
        <f t="shared" si="0"/>
        <v>69</v>
      </c>
      <c r="K51" s="38">
        <f t="shared" si="1"/>
        <v>19.756666666666668</v>
      </c>
      <c r="L51" s="38">
        <f t="shared" si="2"/>
        <v>49.243333333333332</v>
      </c>
      <c r="M51" s="53">
        <v>66.39</v>
      </c>
      <c r="N51" s="38">
        <f t="shared" si="3"/>
        <v>19.756666666666668</v>
      </c>
      <c r="O51" s="38">
        <f t="shared" si="4"/>
        <v>46.633333333333333</v>
      </c>
      <c r="P51" s="38"/>
      <c r="Q51" s="38"/>
      <c r="R51" s="38">
        <f t="shared" si="6"/>
        <v>5.5968548963545377</v>
      </c>
      <c r="S51" s="9"/>
    </row>
    <row r="52" spans="1:19" x14ac:dyDescent="0.25">
      <c r="A52" s="5" t="s">
        <v>24</v>
      </c>
      <c r="B52" s="9" t="s">
        <v>29</v>
      </c>
      <c r="C52" s="9" t="s">
        <v>39</v>
      </c>
      <c r="D52" s="22">
        <v>45888</v>
      </c>
      <c r="E52" s="9">
        <v>1</v>
      </c>
      <c r="F52" s="10" t="s">
        <v>64</v>
      </c>
      <c r="G52" s="9" t="s">
        <v>74</v>
      </c>
      <c r="H52" s="9">
        <v>67</v>
      </c>
      <c r="I52" s="9" t="s">
        <v>195</v>
      </c>
      <c r="J52" s="38">
        <f t="shared" si="0"/>
        <v>67</v>
      </c>
      <c r="K52" s="38">
        <f t="shared" si="1"/>
        <v>19.756666666666668</v>
      </c>
      <c r="L52" s="38">
        <f t="shared" si="2"/>
        <v>47.243333333333332</v>
      </c>
      <c r="M52" s="53">
        <v>64.17</v>
      </c>
      <c r="N52" s="38">
        <f t="shared" si="3"/>
        <v>19.756666666666668</v>
      </c>
      <c r="O52" s="38">
        <f t="shared" si="4"/>
        <v>44.413333333333334</v>
      </c>
      <c r="P52" s="38"/>
      <c r="Q52" s="38"/>
      <c r="R52" s="38">
        <f t="shared" si="6"/>
        <v>6.3719603722605784</v>
      </c>
      <c r="S52" s="9"/>
    </row>
    <row r="53" spans="1:19" x14ac:dyDescent="0.25">
      <c r="A53" s="5" t="s">
        <v>24</v>
      </c>
      <c r="B53" s="9" t="s">
        <v>29</v>
      </c>
      <c r="C53" s="9" t="s">
        <v>40</v>
      </c>
      <c r="D53" s="22">
        <v>45888</v>
      </c>
      <c r="E53" s="9">
        <v>1</v>
      </c>
      <c r="F53" s="10" t="s">
        <v>65</v>
      </c>
      <c r="G53" s="9" t="s">
        <v>74</v>
      </c>
      <c r="H53" s="9">
        <v>56</v>
      </c>
      <c r="I53" s="9" t="s">
        <v>195</v>
      </c>
      <c r="J53" s="38">
        <f t="shared" si="0"/>
        <v>56</v>
      </c>
      <c r="K53" s="38">
        <f t="shared" si="1"/>
        <v>19.756666666666668</v>
      </c>
      <c r="L53" s="38">
        <f t="shared" si="2"/>
        <v>36.243333333333332</v>
      </c>
      <c r="M53" s="53">
        <v>52.19</v>
      </c>
      <c r="N53" s="38">
        <f t="shared" si="3"/>
        <v>19.756666666666668</v>
      </c>
      <c r="O53" s="38">
        <f t="shared" si="4"/>
        <v>32.43333333333333</v>
      </c>
      <c r="P53" s="38"/>
      <c r="Q53" s="38"/>
      <c r="R53" s="38">
        <f t="shared" si="6"/>
        <v>11.747173689619741</v>
      </c>
      <c r="S53" s="9"/>
    </row>
    <row r="54" spans="1:19" x14ac:dyDescent="0.25">
      <c r="A54" s="5" t="s">
        <v>24</v>
      </c>
      <c r="B54" s="9" t="s">
        <v>29</v>
      </c>
      <c r="C54" s="9" t="s">
        <v>41</v>
      </c>
      <c r="D54" s="22">
        <v>45888</v>
      </c>
      <c r="E54" s="9">
        <v>1</v>
      </c>
      <c r="F54" s="10" t="s">
        <v>66</v>
      </c>
      <c r="G54" s="9" t="s">
        <v>74</v>
      </c>
      <c r="H54" s="9">
        <v>36</v>
      </c>
      <c r="I54" s="9" t="s">
        <v>196</v>
      </c>
      <c r="J54" s="38">
        <f t="shared" si="0"/>
        <v>36</v>
      </c>
      <c r="K54" s="38">
        <f t="shared" si="1"/>
        <v>19.756666666666668</v>
      </c>
      <c r="L54" s="38">
        <f t="shared" si="2"/>
        <v>16.243333333333332</v>
      </c>
      <c r="M54" s="53">
        <v>32.81</v>
      </c>
      <c r="N54" s="38">
        <f t="shared" si="3"/>
        <v>19.756666666666668</v>
      </c>
      <c r="O54" s="38">
        <f t="shared" si="4"/>
        <v>13.053333333333335</v>
      </c>
      <c r="P54" s="38"/>
      <c r="Q54" s="38"/>
      <c r="R54" s="38">
        <f t="shared" si="6"/>
        <v>24.43820224719099</v>
      </c>
      <c r="S54" s="9"/>
    </row>
    <row r="55" spans="1:19" ht="30" x14ac:dyDescent="0.25">
      <c r="A55" s="5" t="s">
        <v>24</v>
      </c>
      <c r="B55" s="9" t="s">
        <v>29</v>
      </c>
      <c r="C55" s="9" t="s">
        <v>42</v>
      </c>
      <c r="D55" s="22">
        <v>45888</v>
      </c>
      <c r="E55" s="9">
        <v>1</v>
      </c>
      <c r="F55" s="10" t="s">
        <v>67</v>
      </c>
      <c r="G55" s="57"/>
      <c r="H55" s="37"/>
      <c r="I55" s="9" t="s">
        <v>197</v>
      </c>
      <c r="J55" s="39"/>
      <c r="K55" s="39"/>
      <c r="L55" s="39"/>
      <c r="M55" s="39"/>
      <c r="N55" s="39"/>
      <c r="O55" s="39"/>
      <c r="P55" s="39"/>
      <c r="Q55" s="39"/>
      <c r="R55" s="39" t="e">
        <f t="shared" si="6"/>
        <v>#DIV/0!</v>
      </c>
      <c r="S55" s="9" t="s">
        <v>381</v>
      </c>
    </row>
    <row r="56" spans="1:19" s="35" customFormat="1" ht="30.75" thickBot="1" x14ac:dyDescent="0.3">
      <c r="A56" s="19" t="s">
        <v>24</v>
      </c>
      <c r="B56" s="11" t="s">
        <v>29</v>
      </c>
      <c r="C56" s="11" t="s">
        <v>43</v>
      </c>
      <c r="D56" s="23">
        <v>45888</v>
      </c>
      <c r="E56" s="11">
        <v>4</v>
      </c>
      <c r="F56" s="14" t="s">
        <v>68</v>
      </c>
      <c r="G56" s="11" t="s">
        <v>74</v>
      </c>
      <c r="H56" s="11">
        <v>130</v>
      </c>
      <c r="I56" s="11" t="s">
        <v>198</v>
      </c>
      <c r="J56" s="41">
        <f t="shared" ref="J56:J98" si="7">H56</f>
        <v>130</v>
      </c>
      <c r="K56" s="41">
        <f t="shared" ref="K56:K98" si="8">AVERAGE(19.9,19.77,19.6)</f>
        <v>19.756666666666668</v>
      </c>
      <c r="L56" s="41">
        <f t="shared" ref="L56:L98" si="9">J56-K56</f>
        <v>110.24333333333334</v>
      </c>
      <c r="M56" s="54">
        <v>121.07</v>
      </c>
      <c r="N56" s="41">
        <f t="shared" ref="N56:N119" si="10">AVERAGE(19.9,19.77,19.6)</f>
        <v>19.756666666666668</v>
      </c>
      <c r="O56" s="41">
        <f t="shared" ref="O56:O119" si="11">M56-N56</f>
        <v>101.31333333333333</v>
      </c>
      <c r="P56" s="41">
        <v>3.5</v>
      </c>
      <c r="Q56" s="41"/>
      <c r="R56" s="41">
        <f t="shared" si="6"/>
        <v>8.8142396525630122</v>
      </c>
      <c r="S56" s="11"/>
    </row>
    <row r="57" spans="1:19" x14ac:dyDescent="0.25">
      <c r="A57" s="20" t="s">
        <v>24</v>
      </c>
      <c r="B57" s="12" t="s">
        <v>28</v>
      </c>
      <c r="C57" s="12" t="s">
        <v>392</v>
      </c>
      <c r="D57" s="24">
        <v>45889</v>
      </c>
      <c r="E57" s="12">
        <v>2</v>
      </c>
      <c r="F57" s="13" t="s">
        <v>48</v>
      </c>
      <c r="G57" s="12" t="s">
        <v>71</v>
      </c>
      <c r="H57" s="12">
        <v>78</v>
      </c>
      <c r="I57" s="12" t="s">
        <v>172</v>
      </c>
      <c r="J57" s="40">
        <f t="shared" si="7"/>
        <v>78</v>
      </c>
      <c r="K57" s="40">
        <f t="shared" si="8"/>
        <v>19.756666666666668</v>
      </c>
      <c r="L57" s="40">
        <f t="shared" si="9"/>
        <v>58.243333333333332</v>
      </c>
      <c r="M57" s="52">
        <v>77.12</v>
      </c>
      <c r="N57" s="40">
        <f t="shared" si="10"/>
        <v>19.756666666666668</v>
      </c>
      <c r="O57" s="40">
        <f t="shared" si="11"/>
        <v>57.363333333333337</v>
      </c>
      <c r="P57" s="40"/>
      <c r="Q57" s="40"/>
      <c r="R57" s="40">
        <f t="shared" si="6"/>
        <v>1.5340810041257402</v>
      </c>
      <c r="S57" s="12"/>
    </row>
    <row r="58" spans="1:19" x14ac:dyDescent="0.25">
      <c r="A58" s="5" t="s">
        <v>24</v>
      </c>
      <c r="B58" s="9" t="s">
        <v>28</v>
      </c>
      <c r="C58" s="9" t="s">
        <v>393</v>
      </c>
      <c r="D58" s="22">
        <v>45889</v>
      </c>
      <c r="E58" s="9">
        <v>2</v>
      </c>
      <c r="F58" s="10" t="s">
        <v>49</v>
      </c>
      <c r="G58" s="9" t="s">
        <v>71</v>
      </c>
      <c r="H58" s="9">
        <v>88</v>
      </c>
      <c r="I58" s="9" t="s">
        <v>173</v>
      </c>
      <c r="J58" s="38">
        <f t="shared" si="7"/>
        <v>88</v>
      </c>
      <c r="K58" s="38">
        <f t="shared" si="8"/>
        <v>19.756666666666668</v>
      </c>
      <c r="L58" s="38">
        <f t="shared" si="9"/>
        <v>68.243333333333339</v>
      </c>
      <c r="M58" s="53">
        <v>87.08</v>
      </c>
      <c r="N58" s="38">
        <f t="shared" si="10"/>
        <v>19.756666666666668</v>
      </c>
      <c r="O58" s="38">
        <f t="shared" si="11"/>
        <v>67.323333333333323</v>
      </c>
      <c r="P58" s="38"/>
      <c r="Q58" s="38"/>
      <c r="R58" s="38">
        <f t="shared" si="6"/>
        <v>1.366539585086918</v>
      </c>
      <c r="S58" s="9"/>
    </row>
    <row r="59" spans="1:19" x14ac:dyDescent="0.25">
      <c r="A59" s="5" t="s">
        <v>24</v>
      </c>
      <c r="B59" s="9" t="s">
        <v>28</v>
      </c>
      <c r="C59" s="9" t="s">
        <v>394</v>
      </c>
      <c r="D59" s="22">
        <v>45889</v>
      </c>
      <c r="E59" s="9">
        <v>2</v>
      </c>
      <c r="F59" s="10" t="s">
        <v>50</v>
      </c>
      <c r="G59" s="9" t="s">
        <v>71</v>
      </c>
      <c r="H59" s="9">
        <v>114</v>
      </c>
      <c r="I59" s="9" t="s">
        <v>174</v>
      </c>
      <c r="J59" s="38">
        <f t="shared" si="7"/>
        <v>114</v>
      </c>
      <c r="K59" s="38">
        <f t="shared" si="8"/>
        <v>19.756666666666668</v>
      </c>
      <c r="L59" s="38">
        <f t="shared" si="9"/>
        <v>94.243333333333339</v>
      </c>
      <c r="M59" s="53">
        <v>113.02</v>
      </c>
      <c r="N59" s="38">
        <f t="shared" si="10"/>
        <v>19.756666666666668</v>
      </c>
      <c r="O59" s="38">
        <f t="shared" si="11"/>
        <v>93.263333333333321</v>
      </c>
      <c r="P59" s="38"/>
      <c r="Q59" s="38"/>
      <c r="R59" s="38">
        <f t="shared" si="6"/>
        <v>1.0507880910683209</v>
      </c>
      <c r="S59" s="9"/>
    </row>
    <row r="60" spans="1:19" x14ac:dyDescent="0.25">
      <c r="A60" s="5" t="s">
        <v>24</v>
      </c>
      <c r="B60" s="9" t="s">
        <v>28</v>
      </c>
      <c r="C60" s="9" t="s">
        <v>395</v>
      </c>
      <c r="D60" s="22">
        <v>45889</v>
      </c>
      <c r="E60" s="9">
        <v>2</v>
      </c>
      <c r="F60" s="10" t="s">
        <v>51</v>
      </c>
      <c r="G60" s="9" t="s">
        <v>71</v>
      </c>
      <c r="H60" s="37">
        <v>194</v>
      </c>
      <c r="I60" s="37"/>
      <c r="J60" s="38">
        <f t="shared" si="7"/>
        <v>194</v>
      </c>
      <c r="K60" s="38">
        <f t="shared" si="8"/>
        <v>19.756666666666668</v>
      </c>
      <c r="L60" s="38">
        <f t="shared" si="9"/>
        <v>174.24333333333334</v>
      </c>
      <c r="M60" s="53">
        <v>190.35</v>
      </c>
      <c r="N60" s="38">
        <f t="shared" si="10"/>
        <v>19.756666666666668</v>
      </c>
      <c r="O60" s="38">
        <f t="shared" si="11"/>
        <v>170.59333333333333</v>
      </c>
      <c r="P60" s="38"/>
      <c r="Q60" s="38"/>
      <c r="R60" s="38">
        <f t="shared" si="6"/>
        <v>2.1395912306069049</v>
      </c>
      <c r="S60" s="9" t="s">
        <v>380</v>
      </c>
    </row>
    <row r="61" spans="1:19" x14ac:dyDescent="0.25">
      <c r="A61" s="5" t="s">
        <v>24</v>
      </c>
      <c r="B61" s="9" t="s">
        <v>28</v>
      </c>
      <c r="C61" s="9" t="s">
        <v>396</v>
      </c>
      <c r="D61" s="22">
        <v>45889</v>
      </c>
      <c r="E61" s="9">
        <v>2</v>
      </c>
      <c r="F61" s="10" t="s">
        <v>52</v>
      </c>
      <c r="G61" s="9" t="s">
        <v>71</v>
      </c>
      <c r="H61" s="9">
        <v>65</v>
      </c>
      <c r="I61" s="9" t="s">
        <v>175</v>
      </c>
      <c r="J61" s="38">
        <f t="shared" si="7"/>
        <v>65</v>
      </c>
      <c r="K61" s="38">
        <f t="shared" si="8"/>
        <v>19.756666666666668</v>
      </c>
      <c r="L61" s="38">
        <f t="shared" si="9"/>
        <v>45.243333333333332</v>
      </c>
      <c r="M61" s="53">
        <v>63.85</v>
      </c>
      <c r="N61" s="38">
        <f t="shared" si="10"/>
        <v>19.756666666666668</v>
      </c>
      <c r="O61" s="38">
        <f t="shared" si="11"/>
        <v>44.093333333333334</v>
      </c>
      <c r="P61" s="38"/>
      <c r="Q61" s="38"/>
      <c r="R61" s="38">
        <f t="shared" si="6"/>
        <v>2.6081040217719957</v>
      </c>
      <c r="S61" s="9"/>
    </row>
    <row r="62" spans="1:19" x14ac:dyDescent="0.25">
      <c r="A62" s="5" t="s">
        <v>24</v>
      </c>
      <c r="B62" s="9" t="s">
        <v>28</v>
      </c>
      <c r="C62" s="9" t="s">
        <v>397</v>
      </c>
      <c r="D62" s="22">
        <v>45889</v>
      </c>
      <c r="E62" s="9">
        <v>2</v>
      </c>
      <c r="F62" s="10" t="s">
        <v>53</v>
      </c>
      <c r="G62" s="9" t="s">
        <v>74</v>
      </c>
      <c r="H62" s="9">
        <v>98</v>
      </c>
      <c r="I62" s="9" t="s">
        <v>176</v>
      </c>
      <c r="J62" s="38">
        <f t="shared" si="7"/>
        <v>98</v>
      </c>
      <c r="K62" s="38">
        <f t="shared" si="8"/>
        <v>19.756666666666668</v>
      </c>
      <c r="L62" s="38">
        <f t="shared" si="9"/>
        <v>78.243333333333339</v>
      </c>
      <c r="M62" s="53">
        <v>96.21</v>
      </c>
      <c r="N62" s="38">
        <f t="shared" si="10"/>
        <v>19.756666666666668</v>
      </c>
      <c r="O62" s="38">
        <f t="shared" si="11"/>
        <v>76.453333333333319</v>
      </c>
      <c r="P62" s="38"/>
      <c r="Q62" s="38"/>
      <c r="R62" s="38">
        <f t="shared" si="6"/>
        <v>2.3412975235438012</v>
      </c>
      <c r="S62" s="9"/>
    </row>
    <row r="63" spans="1:19" x14ac:dyDescent="0.25">
      <c r="A63" s="5" t="s">
        <v>24</v>
      </c>
      <c r="B63" s="9" t="s">
        <v>28</v>
      </c>
      <c r="C63" s="9" t="s">
        <v>398</v>
      </c>
      <c r="D63" s="22">
        <v>45889</v>
      </c>
      <c r="E63" s="9">
        <v>2</v>
      </c>
      <c r="F63" s="10" t="s">
        <v>54</v>
      </c>
      <c r="G63" s="9" t="s">
        <v>74</v>
      </c>
      <c r="H63" s="9">
        <v>97</v>
      </c>
      <c r="I63" s="9" t="s">
        <v>177</v>
      </c>
      <c r="J63" s="38">
        <f t="shared" si="7"/>
        <v>97</v>
      </c>
      <c r="K63" s="38">
        <f t="shared" si="8"/>
        <v>19.756666666666668</v>
      </c>
      <c r="L63" s="38">
        <f t="shared" si="9"/>
        <v>77.243333333333339</v>
      </c>
      <c r="M63" s="53">
        <v>94.35</v>
      </c>
      <c r="N63" s="38">
        <f t="shared" si="10"/>
        <v>19.756666666666668</v>
      </c>
      <c r="O63" s="38">
        <f t="shared" si="11"/>
        <v>74.593333333333334</v>
      </c>
      <c r="P63" s="38"/>
      <c r="Q63" s="38"/>
      <c r="R63" s="38">
        <f t="shared" si="6"/>
        <v>3.5525962999374459</v>
      </c>
      <c r="S63" s="9"/>
    </row>
    <row r="64" spans="1:19" x14ac:dyDescent="0.25">
      <c r="A64" s="5" t="s">
        <v>24</v>
      </c>
      <c r="B64" s="9" t="s">
        <v>28</v>
      </c>
      <c r="C64" s="9" t="s">
        <v>399</v>
      </c>
      <c r="D64" s="22">
        <v>45889</v>
      </c>
      <c r="E64" s="9">
        <v>2</v>
      </c>
      <c r="F64" s="10" t="s">
        <v>55</v>
      </c>
      <c r="G64" s="9" t="s">
        <v>85</v>
      </c>
      <c r="H64" s="9">
        <v>108</v>
      </c>
      <c r="I64" s="9" t="s">
        <v>178</v>
      </c>
      <c r="J64" s="38">
        <f t="shared" si="7"/>
        <v>108</v>
      </c>
      <c r="K64" s="38">
        <f t="shared" si="8"/>
        <v>19.756666666666668</v>
      </c>
      <c r="L64" s="38">
        <f t="shared" si="9"/>
        <v>88.243333333333339</v>
      </c>
      <c r="M64" s="53">
        <v>103.19</v>
      </c>
      <c r="N64" s="38">
        <f t="shared" si="10"/>
        <v>19.756666666666668</v>
      </c>
      <c r="O64" s="38">
        <f t="shared" si="11"/>
        <v>83.433333333333337</v>
      </c>
      <c r="P64" s="38"/>
      <c r="Q64" s="38"/>
      <c r="R64" s="38">
        <f t="shared" si="6"/>
        <v>5.7650819017179407</v>
      </c>
      <c r="S64" s="9"/>
    </row>
    <row r="65" spans="1:19" ht="30" x14ac:dyDescent="0.25">
      <c r="A65" s="5" t="s">
        <v>24</v>
      </c>
      <c r="B65" s="9" t="s">
        <v>28</v>
      </c>
      <c r="C65" s="9" t="s">
        <v>400</v>
      </c>
      <c r="D65" s="22">
        <v>45889</v>
      </c>
      <c r="E65" s="9">
        <v>2</v>
      </c>
      <c r="F65" s="10" t="s">
        <v>56</v>
      </c>
      <c r="G65" s="9" t="s">
        <v>85</v>
      </c>
      <c r="H65" s="9">
        <v>128</v>
      </c>
      <c r="I65" s="9" t="s">
        <v>179</v>
      </c>
      <c r="J65" s="38">
        <f t="shared" si="7"/>
        <v>128</v>
      </c>
      <c r="K65" s="38">
        <f t="shared" si="8"/>
        <v>19.756666666666668</v>
      </c>
      <c r="L65" s="38">
        <f t="shared" si="9"/>
        <v>108.24333333333334</v>
      </c>
      <c r="M65" s="53">
        <v>123.25</v>
      </c>
      <c r="N65" s="38">
        <f t="shared" si="10"/>
        <v>19.756666666666668</v>
      </c>
      <c r="O65" s="38">
        <f t="shared" si="11"/>
        <v>103.49333333333334</v>
      </c>
      <c r="P65" s="38"/>
      <c r="Q65" s="38"/>
      <c r="R65" s="38">
        <f t="shared" si="6"/>
        <v>4.5896676114403503</v>
      </c>
      <c r="S65" s="9"/>
    </row>
    <row r="66" spans="1:19" x14ac:dyDescent="0.25">
      <c r="A66" s="5" t="s">
        <v>24</v>
      </c>
      <c r="B66" s="9" t="s">
        <v>28</v>
      </c>
      <c r="C66" s="9" t="s">
        <v>32</v>
      </c>
      <c r="D66" s="22">
        <v>45889</v>
      </c>
      <c r="E66" s="9">
        <v>2</v>
      </c>
      <c r="F66" s="10" t="s">
        <v>57</v>
      </c>
      <c r="G66" s="9" t="s">
        <v>85</v>
      </c>
      <c r="H66" s="9">
        <v>113</v>
      </c>
      <c r="I66" s="9" t="s">
        <v>180</v>
      </c>
      <c r="J66" s="38">
        <f t="shared" si="7"/>
        <v>113</v>
      </c>
      <c r="K66" s="38">
        <f t="shared" si="8"/>
        <v>19.756666666666668</v>
      </c>
      <c r="L66" s="38">
        <f t="shared" si="9"/>
        <v>93.243333333333339</v>
      </c>
      <c r="M66" s="53">
        <v>108.04</v>
      </c>
      <c r="N66" s="38">
        <f t="shared" si="10"/>
        <v>19.756666666666668</v>
      </c>
      <c r="O66" s="38">
        <f t="shared" si="11"/>
        <v>88.283333333333331</v>
      </c>
      <c r="P66" s="38"/>
      <c r="Q66" s="38"/>
      <c r="R66" s="38">
        <f t="shared" si="6"/>
        <v>5.618274494997177</v>
      </c>
      <c r="S66" s="9"/>
    </row>
    <row r="67" spans="1:19" x14ac:dyDescent="0.25">
      <c r="A67" s="5" t="s">
        <v>24</v>
      </c>
      <c r="B67" s="9" t="s">
        <v>28</v>
      </c>
      <c r="C67" s="9" t="s">
        <v>33</v>
      </c>
      <c r="D67" s="22">
        <v>45889</v>
      </c>
      <c r="E67" s="9">
        <v>1</v>
      </c>
      <c r="F67" s="10" t="s">
        <v>58</v>
      </c>
      <c r="G67" s="9" t="s">
        <v>85</v>
      </c>
      <c r="H67" s="9">
        <v>66</v>
      </c>
      <c r="I67" s="9" t="s">
        <v>177</v>
      </c>
      <c r="J67" s="38">
        <f t="shared" si="7"/>
        <v>66</v>
      </c>
      <c r="K67" s="38">
        <f t="shared" si="8"/>
        <v>19.756666666666668</v>
      </c>
      <c r="L67" s="38">
        <f t="shared" si="9"/>
        <v>46.243333333333332</v>
      </c>
      <c r="M67" s="53">
        <v>63.47</v>
      </c>
      <c r="N67" s="38">
        <f t="shared" si="10"/>
        <v>19.756666666666668</v>
      </c>
      <c r="O67" s="38">
        <f t="shared" si="11"/>
        <v>43.713333333333331</v>
      </c>
      <c r="P67" s="38"/>
      <c r="Q67" s="38"/>
      <c r="R67" s="38">
        <f t="shared" si="6"/>
        <v>5.7877077931981118</v>
      </c>
      <c r="S67" s="9"/>
    </row>
    <row r="68" spans="1:19" x14ac:dyDescent="0.25">
      <c r="A68" s="5" t="s">
        <v>24</v>
      </c>
      <c r="B68" s="9" t="s">
        <v>28</v>
      </c>
      <c r="C68" s="9" t="s">
        <v>34</v>
      </c>
      <c r="D68" s="22">
        <v>45889</v>
      </c>
      <c r="E68" s="9">
        <v>1</v>
      </c>
      <c r="F68" s="10" t="s">
        <v>59</v>
      </c>
      <c r="G68" s="9" t="s">
        <v>85</v>
      </c>
      <c r="H68" s="9">
        <v>62</v>
      </c>
      <c r="I68" s="9" t="s">
        <v>177</v>
      </c>
      <c r="J68" s="38">
        <f t="shared" si="7"/>
        <v>62</v>
      </c>
      <c r="K68" s="38">
        <f t="shared" si="8"/>
        <v>19.756666666666668</v>
      </c>
      <c r="L68" s="38">
        <f t="shared" si="9"/>
        <v>42.243333333333332</v>
      </c>
      <c r="M68" s="53">
        <v>59.73</v>
      </c>
      <c r="N68" s="38">
        <f t="shared" si="10"/>
        <v>19.756666666666668</v>
      </c>
      <c r="O68" s="38">
        <f t="shared" si="11"/>
        <v>39.973333333333329</v>
      </c>
      <c r="P68" s="38"/>
      <c r="Q68" s="38"/>
      <c r="R68" s="38">
        <f t="shared" si="6"/>
        <v>5.6787858572381671</v>
      </c>
      <c r="S68" s="9"/>
    </row>
    <row r="69" spans="1:19" x14ac:dyDescent="0.25">
      <c r="A69" s="5" t="s">
        <v>24</v>
      </c>
      <c r="B69" s="9" t="s">
        <v>28</v>
      </c>
      <c r="C69" s="9" t="s">
        <v>35</v>
      </c>
      <c r="D69" s="22">
        <v>45889</v>
      </c>
      <c r="E69" s="9">
        <v>1</v>
      </c>
      <c r="F69" s="10" t="s">
        <v>60</v>
      </c>
      <c r="G69" s="9" t="s">
        <v>74</v>
      </c>
      <c r="H69" s="9">
        <v>63</v>
      </c>
      <c r="I69" s="9" t="s">
        <v>177</v>
      </c>
      <c r="J69" s="38">
        <f t="shared" si="7"/>
        <v>63</v>
      </c>
      <c r="K69" s="38">
        <f t="shared" si="8"/>
        <v>19.756666666666668</v>
      </c>
      <c r="L69" s="38">
        <f t="shared" si="9"/>
        <v>43.243333333333332</v>
      </c>
      <c r="M69" s="53">
        <v>60.54</v>
      </c>
      <c r="N69" s="38">
        <f t="shared" si="10"/>
        <v>19.756666666666668</v>
      </c>
      <c r="O69" s="38">
        <f t="shared" si="11"/>
        <v>40.783333333333331</v>
      </c>
      <c r="P69" s="38"/>
      <c r="Q69" s="38"/>
      <c r="R69" s="38">
        <f t="shared" si="6"/>
        <v>6.0318757662443829</v>
      </c>
      <c r="S69" s="9"/>
    </row>
    <row r="70" spans="1:19" x14ac:dyDescent="0.25">
      <c r="A70" s="5" t="s">
        <v>24</v>
      </c>
      <c r="B70" s="9" t="s">
        <v>28</v>
      </c>
      <c r="C70" s="9" t="s">
        <v>36</v>
      </c>
      <c r="D70" s="22">
        <v>45889</v>
      </c>
      <c r="E70" s="9">
        <v>1</v>
      </c>
      <c r="F70" s="10" t="s">
        <v>61</v>
      </c>
      <c r="G70" s="9" t="s">
        <v>74</v>
      </c>
      <c r="H70" s="9">
        <v>63</v>
      </c>
      <c r="I70" s="9" t="s">
        <v>181</v>
      </c>
      <c r="J70" s="38">
        <f t="shared" si="7"/>
        <v>63</v>
      </c>
      <c r="K70" s="38">
        <f t="shared" si="8"/>
        <v>19.756666666666668</v>
      </c>
      <c r="L70" s="38">
        <f t="shared" si="9"/>
        <v>43.243333333333332</v>
      </c>
      <c r="M70" s="53">
        <v>60.03</v>
      </c>
      <c r="N70" s="38">
        <f t="shared" si="10"/>
        <v>19.756666666666668</v>
      </c>
      <c r="O70" s="38">
        <f t="shared" si="11"/>
        <v>40.273333333333333</v>
      </c>
      <c r="P70" s="38"/>
      <c r="Q70" s="38"/>
      <c r="R70" s="38">
        <f t="shared" si="6"/>
        <v>7.3746068531700013</v>
      </c>
      <c r="S70" s="9"/>
    </row>
    <row r="71" spans="1:19" x14ac:dyDescent="0.25">
      <c r="A71" s="5" t="s">
        <v>24</v>
      </c>
      <c r="B71" s="9" t="s">
        <v>28</v>
      </c>
      <c r="C71" s="9" t="s">
        <v>37</v>
      </c>
      <c r="D71" s="22">
        <v>45889</v>
      </c>
      <c r="E71" s="9">
        <v>1</v>
      </c>
      <c r="F71" s="10" t="s">
        <v>62</v>
      </c>
      <c r="G71" s="9" t="s">
        <v>71</v>
      </c>
      <c r="H71" s="9">
        <v>60</v>
      </c>
      <c r="I71" s="9" t="s">
        <v>182</v>
      </c>
      <c r="J71" s="38">
        <f t="shared" si="7"/>
        <v>60</v>
      </c>
      <c r="K71" s="38">
        <f t="shared" si="8"/>
        <v>19.756666666666668</v>
      </c>
      <c r="L71" s="38">
        <f t="shared" si="9"/>
        <v>40.243333333333332</v>
      </c>
      <c r="M71" s="53">
        <v>57.77</v>
      </c>
      <c r="N71" s="38">
        <f t="shared" si="10"/>
        <v>19.756666666666668</v>
      </c>
      <c r="O71" s="38">
        <f t="shared" si="11"/>
        <v>38.013333333333335</v>
      </c>
      <c r="P71" s="38"/>
      <c r="Q71" s="38"/>
      <c r="R71" s="38">
        <f t="shared" si="6"/>
        <v>5.8663626797614787</v>
      </c>
      <c r="S71" s="9"/>
    </row>
    <row r="72" spans="1:19" x14ac:dyDescent="0.25">
      <c r="A72" s="5" t="s">
        <v>24</v>
      </c>
      <c r="B72" s="9" t="s">
        <v>28</v>
      </c>
      <c r="C72" s="9" t="s">
        <v>38</v>
      </c>
      <c r="D72" s="22">
        <v>45889</v>
      </c>
      <c r="E72" s="9">
        <v>1</v>
      </c>
      <c r="F72" s="10" t="s">
        <v>63</v>
      </c>
      <c r="G72" s="9" t="s">
        <v>71</v>
      </c>
      <c r="H72" s="9">
        <v>60</v>
      </c>
      <c r="I72" s="9" t="s">
        <v>182</v>
      </c>
      <c r="J72" s="38">
        <f t="shared" si="7"/>
        <v>60</v>
      </c>
      <c r="K72" s="38">
        <f t="shared" si="8"/>
        <v>19.756666666666668</v>
      </c>
      <c r="L72" s="38">
        <f t="shared" si="9"/>
        <v>40.243333333333332</v>
      </c>
      <c r="M72" s="53">
        <v>57.76</v>
      </c>
      <c r="N72" s="38">
        <f t="shared" si="10"/>
        <v>19.756666666666668</v>
      </c>
      <c r="O72" s="38">
        <f t="shared" si="11"/>
        <v>38.00333333333333</v>
      </c>
      <c r="P72" s="38"/>
      <c r="Q72" s="38"/>
      <c r="R72" s="38">
        <f t="shared" si="6"/>
        <v>5.8942198052802448</v>
      </c>
      <c r="S72" s="9"/>
    </row>
    <row r="73" spans="1:19" ht="30" x14ac:dyDescent="0.25">
      <c r="A73" s="5" t="s">
        <v>24</v>
      </c>
      <c r="B73" s="9" t="s">
        <v>28</v>
      </c>
      <c r="C73" s="9" t="s">
        <v>39</v>
      </c>
      <c r="D73" s="22">
        <v>45889</v>
      </c>
      <c r="E73" s="9">
        <v>1</v>
      </c>
      <c r="F73" s="10" t="s">
        <v>64</v>
      </c>
      <c r="G73" s="9" t="s">
        <v>71</v>
      </c>
      <c r="H73" s="9">
        <v>65</v>
      </c>
      <c r="I73" s="9" t="s">
        <v>183</v>
      </c>
      <c r="J73" s="38">
        <f t="shared" si="7"/>
        <v>65</v>
      </c>
      <c r="K73" s="38">
        <f t="shared" si="8"/>
        <v>19.756666666666668</v>
      </c>
      <c r="L73" s="38">
        <f t="shared" si="9"/>
        <v>45.243333333333332</v>
      </c>
      <c r="M73" s="53">
        <v>62.26</v>
      </c>
      <c r="N73" s="38">
        <f t="shared" si="10"/>
        <v>19.756666666666668</v>
      </c>
      <c r="O73" s="38">
        <f t="shared" si="11"/>
        <v>42.50333333333333</v>
      </c>
      <c r="P73" s="38"/>
      <c r="Q73" s="38"/>
      <c r="R73" s="38">
        <f t="shared" si="6"/>
        <v>6.4465532115128275</v>
      </c>
      <c r="S73" s="9"/>
    </row>
    <row r="74" spans="1:19" ht="30" x14ac:dyDescent="0.25">
      <c r="A74" s="5" t="s">
        <v>24</v>
      </c>
      <c r="B74" s="9" t="s">
        <v>28</v>
      </c>
      <c r="C74" s="9" t="s">
        <v>40</v>
      </c>
      <c r="D74" s="22">
        <v>45889</v>
      </c>
      <c r="E74" s="9">
        <v>1</v>
      </c>
      <c r="F74" s="10" t="s">
        <v>65</v>
      </c>
      <c r="G74" s="9" t="s">
        <v>71</v>
      </c>
      <c r="H74" s="9">
        <v>70</v>
      </c>
      <c r="I74" s="9" t="s">
        <v>184</v>
      </c>
      <c r="J74" s="38">
        <f t="shared" si="7"/>
        <v>70</v>
      </c>
      <c r="K74" s="38">
        <f t="shared" si="8"/>
        <v>19.756666666666668</v>
      </c>
      <c r="L74" s="38">
        <f t="shared" si="9"/>
        <v>50.243333333333332</v>
      </c>
      <c r="M74" s="53">
        <v>67.069999999999993</v>
      </c>
      <c r="N74" s="38">
        <f t="shared" si="10"/>
        <v>19.756666666666668</v>
      </c>
      <c r="O74" s="38">
        <f t="shared" si="11"/>
        <v>47.313333333333325</v>
      </c>
      <c r="P74" s="38"/>
      <c r="Q74" s="38"/>
      <c r="R74" s="38">
        <f t="shared" si="6"/>
        <v>6.1927575031703697</v>
      </c>
      <c r="S74" s="9"/>
    </row>
    <row r="75" spans="1:19" x14ac:dyDescent="0.25">
      <c r="A75" s="5" t="s">
        <v>24</v>
      </c>
      <c r="B75" s="9" t="s">
        <v>28</v>
      </c>
      <c r="C75" s="9" t="s">
        <v>41</v>
      </c>
      <c r="D75" s="22">
        <v>45889</v>
      </c>
      <c r="E75" s="9">
        <v>1</v>
      </c>
      <c r="F75" s="10" t="s">
        <v>66</v>
      </c>
      <c r="G75" s="9" t="s">
        <v>71</v>
      </c>
      <c r="H75" s="9">
        <v>51</v>
      </c>
      <c r="I75" s="9" t="s">
        <v>185</v>
      </c>
      <c r="J75" s="38">
        <f t="shared" si="7"/>
        <v>51</v>
      </c>
      <c r="K75" s="38">
        <f t="shared" si="8"/>
        <v>19.756666666666668</v>
      </c>
      <c r="L75" s="38">
        <f t="shared" si="9"/>
        <v>31.243333333333332</v>
      </c>
      <c r="M75" s="53">
        <v>48.64</v>
      </c>
      <c r="N75" s="38">
        <f t="shared" si="10"/>
        <v>19.756666666666668</v>
      </c>
      <c r="O75" s="38">
        <f t="shared" si="11"/>
        <v>28.883333333333333</v>
      </c>
      <c r="P75" s="38"/>
      <c r="Q75" s="38"/>
      <c r="R75" s="38">
        <f t="shared" si="6"/>
        <v>8.1708020773225609</v>
      </c>
      <c r="S75" s="9"/>
    </row>
    <row r="76" spans="1:19" ht="30" x14ac:dyDescent="0.25">
      <c r="A76" s="5" t="s">
        <v>24</v>
      </c>
      <c r="B76" s="9" t="s">
        <v>28</v>
      </c>
      <c r="C76" s="9" t="s">
        <v>42</v>
      </c>
      <c r="D76" s="22">
        <v>45889</v>
      </c>
      <c r="E76" s="9">
        <v>1</v>
      </c>
      <c r="F76" s="10" t="s">
        <v>67</v>
      </c>
      <c r="G76" s="9" t="s">
        <v>71</v>
      </c>
      <c r="H76" s="9">
        <v>72</v>
      </c>
      <c r="I76" s="9" t="s">
        <v>186</v>
      </c>
      <c r="J76" s="38">
        <f t="shared" si="7"/>
        <v>72</v>
      </c>
      <c r="K76" s="38">
        <f t="shared" si="8"/>
        <v>19.756666666666668</v>
      </c>
      <c r="L76" s="38">
        <f t="shared" si="9"/>
        <v>52.243333333333332</v>
      </c>
      <c r="M76" s="53">
        <v>68.59</v>
      </c>
      <c r="N76" s="38">
        <f t="shared" si="10"/>
        <v>19.756666666666668</v>
      </c>
      <c r="O76" s="38">
        <f t="shared" si="11"/>
        <v>48.833333333333336</v>
      </c>
      <c r="P76" s="38"/>
      <c r="Q76" s="38"/>
      <c r="R76" s="38">
        <f t="shared" si="6"/>
        <v>6.9829351535836111</v>
      </c>
      <c r="S76" s="9"/>
    </row>
    <row r="77" spans="1:19" s="35" customFormat="1" ht="30.75" thickBot="1" x14ac:dyDescent="0.3">
      <c r="A77" s="19" t="s">
        <v>24</v>
      </c>
      <c r="B77" s="11" t="s">
        <v>28</v>
      </c>
      <c r="C77" s="11" t="s">
        <v>44</v>
      </c>
      <c r="D77" s="23">
        <v>45889</v>
      </c>
      <c r="E77" s="11">
        <v>8</v>
      </c>
      <c r="F77" s="14" t="s">
        <v>68</v>
      </c>
      <c r="G77" s="11" t="s">
        <v>71</v>
      </c>
      <c r="H77" s="11">
        <v>172</v>
      </c>
      <c r="I77" s="11" t="s">
        <v>186</v>
      </c>
      <c r="J77" s="41">
        <f t="shared" si="7"/>
        <v>172</v>
      </c>
      <c r="K77" s="41">
        <f t="shared" si="8"/>
        <v>19.756666666666668</v>
      </c>
      <c r="L77" s="41">
        <f t="shared" si="9"/>
        <v>152.24333333333334</v>
      </c>
      <c r="M77" s="54">
        <v>166.17</v>
      </c>
      <c r="N77" s="41">
        <f t="shared" si="10"/>
        <v>19.756666666666668</v>
      </c>
      <c r="O77" s="41">
        <f t="shared" si="11"/>
        <v>146.41333333333333</v>
      </c>
      <c r="P77" s="41">
        <v>4.5</v>
      </c>
      <c r="Q77" s="41"/>
      <c r="R77" s="41">
        <f t="shared" si="6"/>
        <v>3.9818777889081227</v>
      </c>
      <c r="S77" s="11"/>
    </row>
    <row r="78" spans="1:19" ht="30" x14ac:dyDescent="0.25">
      <c r="A78" s="20" t="s">
        <v>24</v>
      </c>
      <c r="B78" s="12" t="s">
        <v>28</v>
      </c>
      <c r="C78" s="12" t="s">
        <v>45</v>
      </c>
      <c r="D78" s="24">
        <v>45890</v>
      </c>
      <c r="E78" s="12">
        <v>4</v>
      </c>
      <c r="F78" s="13" t="s">
        <v>68</v>
      </c>
      <c r="G78" s="12" t="s">
        <v>71</v>
      </c>
      <c r="H78" s="12">
        <v>131</v>
      </c>
      <c r="I78" s="12" t="s">
        <v>186</v>
      </c>
      <c r="J78" s="40">
        <f t="shared" si="7"/>
        <v>131</v>
      </c>
      <c r="K78" s="40">
        <f t="shared" si="8"/>
        <v>19.756666666666668</v>
      </c>
      <c r="L78" s="40">
        <f t="shared" si="9"/>
        <v>111.24333333333334</v>
      </c>
      <c r="M78" s="52">
        <v>123.65</v>
      </c>
      <c r="N78" s="40">
        <f t="shared" si="10"/>
        <v>19.756666666666668</v>
      </c>
      <c r="O78" s="40">
        <f t="shared" si="11"/>
        <v>103.89333333333335</v>
      </c>
      <c r="P78" s="40" t="s">
        <v>376</v>
      </c>
      <c r="Q78" s="40"/>
      <c r="R78" s="40">
        <f t="shared" si="6"/>
        <v>7.0745636550307935</v>
      </c>
      <c r="S78" s="12"/>
    </row>
    <row r="79" spans="1:19" ht="30" x14ac:dyDescent="0.25">
      <c r="A79" s="5" t="s">
        <v>24</v>
      </c>
      <c r="B79" s="9" t="s">
        <v>30</v>
      </c>
      <c r="C79" s="9" t="s">
        <v>392</v>
      </c>
      <c r="D79" s="22">
        <v>45889</v>
      </c>
      <c r="E79" s="9">
        <v>2</v>
      </c>
      <c r="F79" s="10" t="s">
        <v>48</v>
      </c>
      <c r="G79" s="9" t="s">
        <v>85</v>
      </c>
      <c r="H79" s="9">
        <v>56</v>
      </c>
      <c r="I79" s="9" t="s">
        <v>199</v>
      </c>
      <c r="J79" s="38">
        <f t="shared" si="7"/>
        <v>56</v>
      </c>
      <c r="K79" s="38">
        <f t="shared" si="8"/>
        <v>19.756666666666668</v>
      </c>
      <c r="L79" s="38">
        <f t="shared" si="9"/>
        <v>36.243333333333332</v>
      </c>
      <c r="M79" s="53">
        <v>52.08</v>
      </c>
      <c r="N79" s="38">
        <f t="shared" si="10"/>
        <v>19.756666666666668</v>
      </c>
      <c r="O79" s="38">
        <f t="shared" si="11"/>
        <v>32.323333333333331</v>
      </c>
      <c r="P79" s="38"/>
      <c r="Q79" s="38"/>
      <c r="R79" s="38">
        <f t="shared" ref="R79:R98" si="12">((L79-O79)/O79)*100</f>
        <v>12.127462101680939</v>
      </c>
      <c r="S79" s="9"/>
    </row>
    <row r="80" spans="1:19" x14ac:dyDescent="0.25">
      <c r="A80" s="5" t="s">
        <v>24</v>
      </c>
      <c r="B80" s="9" t="s">
        <v>30</v>
      </c>
      <c r="C80" s="9" t="s">
        <v>393</v>
      </c>
      <c r="D80" s="22">
        <v>45889</v>
      </c>
      <c r="E80" s="9">
        <v>2</v>
      </c>
      <c r="F80" s="10" t="s">
        <v>49</v>
      </c>
      <c r="G80" s="9" t="s">
        <v>85</v>
      </c>
      <c r="H80" s="9">
        <v>52</v>
      </c>
      <c r="I80" s="9" t="s">
        <v>200</v>
      </c>
      <c r="J80" s="38">
        <f t="shared" si="7"/>
        <v>52</v>
      </c>
      <c r="K80" s="38">
        <f t="shared" si="8"/>
        <v>19.756666666666668</v>
      </c>
      <c r="L80" s="38">
        <f t="shared" si="9"/>
        <v>32.243333333333332</v>
      </c>
      <c r="M80" s="53">
        <v>47.62</v>
      </c>
      <c r="N80" s="38">
        <f t="shared" si="10"/>
        <v>19.756666666666668</v>
      </c>
      <c r="O80" s="38">
        <f t="shared" si="11"/>
        <v>27.86333333333333</v>
      </c>
      <c r="P80" s="38"/>
      <c r="Q80" s="38"/>
      <c r="R80" s="38">
        <f t="shared" si="12"/>
        <v>15.719583682258653</v>
      </c>
      <c r="S80" s="9"/>
    </row>
    <row r="81" spans="1:19" x14ac:dyDescent="0.25">
      <c r="A81" s="5" t="s">
        <v>24</v>
      </c>
      <c r="B81" s="9" t="s">
        <v>30</v>
      </c>
      <c r="C81" s="9" t="s">
        <v>394</v>
      </c>
      <c r="D81" s="22">
        <v>45889</v>
      </c>
      <c r="E81" s="9">
        <v>2</v>
      </c>
      <c r="F81" s="10" t="s">
        <v>50</v>
      </c>
      <c r="G81" s="9" t="s">
        <v>116</v>
      </c>
      <c r="H81" s="9">
        <v>129</v>
      </c>
      <c r="I81" s="9" t="s">
        <v>201</v>
      </c>
      <c r="J81" s="38">
        <f t="shared" si="7"/>
        <v>129</v>
      </c>
      <c r="K81" s="38">
        <f t="shared" si="8"/>
        <v>19.756666666666668</v>
      </c>
      <c r="L81" s="38">
        <f t="shared" si="9"/>
        <v>109.24333333333334</v>
      </c>
      <c r="M81" s="53">
        <v>116.14</v>
      </c>
      <c r="N81" s="38">
        <f t="shared" si="10"/>
        <v>19.756666666666668</v>
      </c>
      <c r="O81" s="38">
        <f t="shared" si="11"/>
        <v>96.383333333333326</v>
      </c>
      <c r="P81" s="38"/>
      <c r="Q81" s="38"/>
      <c r="R81" s="38">
        <f t="shared" si="12"/>
        <v>13.342555766903006</v>
      </c>
      <c r="S81" s="9"/>
    </row>
    <row r="82" spans="1:19" x14ac:dyDescent="0.25">
      <c r="A82" s="5" t="s">
        <v>24</v>
      </c>
      <c r="B82" s="9" t="s">
        <v>30</v>
      </c>
      <c r="C82" s="9" t="s">
        <v>395</v>
      </c>
      <c r="D82" s="22">
        <v>45889</v>
      </c>
      <c r="E82" s="9">
        <v>2</v>
      </c>
      <c r="F82" s="10" t="s">
        <v>51</v>
      </c>
      <c r="G82" s="9" t="s">
        <v>116</v>
      </c>
      <c r="H82" s="9">
        <v>119</v>
      </c>
      <c r="I82" s="9" t="s">
        <v>202</v>
      </c>
      <c r="J82" s="38">
        <f t="shared" si="7"/>
        <v>119</v>
      </c>
      <c r="K82" s="38">
        <f t="shared" si="8"/>
        <v>19.756666666666668</v>
      </c>
      <c r="L82" s="38">
        <f t="shared" si="9"/>
        <v>99.243333333333339</v>
      </c>
      <c r="M82" s="53">
        <v>106.44</v>
      </c>
      <c r="N82" s="38">
        <f t="shared" si="10"/>
        <v>19.756666666666668</v>
      </c>
      <c r="O82" s="38">
        <f t="shared" si="11"/>
        <v>86.683333333333337</v>
      </c>
      <c r="P82" s="38"/>
      <c r="Q82" s="38"/>
      <c r="R82" s="38">
        <f t="shared" si="12"/>
        <v>14.489521245914251</v>
      </c>
      <c r="S82" s="9"/>
    </row>
    <row r="83" spans="1:19" x14ac:dyDescent="0.25">
      <c r="A83" s="5" t="s">
        <v>24</v>
      </c>
      <c r="B83" s="9" t="s">
        <v>30</v>
      </c>
      <c r="C83" s="9" t="s">
        <v>396</v>
      </c>
      <c r="D83" s="22">
        <v>45889</v>
      </c>
      <c r="E83" s="9">
        <v>2</v>
      </c>
      <c r="F83" s="10" t="s">
        <v>52</v>
      </c>
      <c r="G83" s="9" t="s">
        <v>85</v>
      </c>
      <c r="H83" s="9">
        <v>136</v>
      </c>
      <c r="I83" s="9" t="s">
        <v>203</v>
      </c>
      <c r="J83" s="38">
        <f t="shared" si="7"/>
        <v>136</v>
      </c>
      <c r="K83" s="38">
        <f t="shared" si="8"/>
        <v>19.756666666666668</v>
      </c>
      <c r="L83" s="38">
        <f t="shared" si="9"/>
        <v>116.24333333333334</v>
      </c>
      <c r="M83" s="53">
        <v>121.42</v>
      </c>
      <c r="N83" s="38">
        <f t="shared" si="10"/>
        <v>19.756666666666668</v>
      </c>
      <c r="O83" s="38">
        <f t="shared" si="11"/>
        <v>101.66333333333333</v>
      </c>
      <c r="P83" s="38"/>
      <c r="Q83" s="38"/>
      <c r="R83" s="38">
        <f t="shared" si="12"/>
        <v>14.341453818157984</v>
      </c>
      <c r="S83" s="9"/>
    </row>
    <row r="84" spans="1:19" x14ac:dyDescent="0.25">
      <c r="A84" s="5" t="s">
        <v>24</v>
      </c>
      <c r="B84" s="9" t="s">
        <v>30</v>
      </c>
      <c r="C84" s="9" t="s">
        <v>397</v>
      </c>
      <c r="D84" s="22">
        <v>45889</v>
      </c>
      <c r="E84" s="9">
        <v>2</v>
      </c>
      <c r="F84" s="10" t="s">
        <v>53</v>
      </c>
      <c r="G84" s="9" t="s">
        <v>116</v>
      </c>
      <c r="H84" s="9">
        <v>150</v>
      </c>
      <c r="I84" s="9" t="s">
        <v>204</v>
      </c>
      <c r="J84" s="38">
        <f t="shared" si="7"/>
        <v>150</v>
      </c>
      <c r="K84" s="38">
        <f t="shared" si="8"/>
        <v>19.756666666666668</v>
      </c>
      <c r="L84" s="38">
        <f t="shared" si="9"/>
        <v>130.24333333333334</v>
      </c>
      <c r="M84" s="53">
        <v>133.08000000000001</v>
      </c>
      <c r="N84" s="38">
        <f t="shared" si="10"/>
        <v>19.756666666666668</v>
      </c>
      <c r="O84" s="38">
        <f t="shared" si="11"/>
        <v>113.32333333333335</v>
      </c>
      <c r="P84" s="38"/>
      <c r="Q84" s="38"/>
      <c r="R84" s="38">
        <f t="shared" si="12"/>
        <v>14.930729181986631</v>
      </c>
      <c r="S84" s="9"/>
    </row>
    <row r="85" spans="1:19" x14ac:dyDescent="0.25">
      <c r="A85" s="5" t="s">
        <v>24</v>
      </c>
      <c r="B85" s="9" t="s">
        <v>30</v>
      </c>
      <c r="C85" s="9" t="s">
        <v>398</v>
      </c>
      <c r="D85" s="22">
        <v>45889</v>
      </c>
      <c r="E85" s="9">
        <v>2</v>
      </c>
      <c r="F85" s="10" t="s">
        <v>54</v>
      </c>
      <c r="G85" s="9" t="s">
        <v>116</v>
      </c>
      <c r="H85" s="9">
        <v>119</v>
      </c>
      <c r="I85" s="9" t="s">
        <v>204</v>
      </c>
      <c r="J85" s="38">
        <f t="shared" si="7"/>
        <v>119</v>
      </c>
      <c r="K85" s="38">
        <f t="shared" si="8"/>
        <v>19.756666666666668</v>
      </c>
      <c r="L85" s="38">
        <f t="shared" si="9"/>
        <v>99.243333333333339</v>
      </c>
      <c r="M85" s="53">
        <v>103.84</v>
      </c>
      <c r="N85" s="38">
        <f t="shared" si="10"/>
        <v>19.756666666666668</v>
      </c>
      <c r="O85" s="38">
        <f t="shared" si="11"/>
        <v>84.083333333333343</v>
      </c>
      <c r="P85" s="38"/>
      <c r="Q85" s="38"/>
      <c r="R85" s="38">
        <f t="shared" si="12"/>
        <v>18.029732408325071</v>
      </c>
      <c r="S85" s="9"/>
    </row>
    <row r="86" spans="1:19" x14ac:dyDescent="0.25">
      <c r="A86" s="5" t="s">
        <v>24</v>
      </c>
      <c r="B86" s="9" t="s">
        <v>30</v>
      </c>
      <c r="C86" s="9" t="s">
        <v>399</v>
      </c>
      <c r="D86" s="22">
        <v>45889</v>
      </c>
      <c r="E86" s="9">
        <v>2</v>
      </c>
      <c r="F86" s="10" t="s">
        <v>55</v>
      </c>
      <c r="G86" s="9" t="s">
        <v>116</v>
      </c>
      <c r="H86" s="9">
        <v>166</v>
      </c>
      <c r="I86" s="9" t="s">
        <v>201</v>
      </c>
      <c r="J86" s="38">
        <f t="shared" si="7"/>
        <v>166</v>
      </c>
      <c r="K86" s="38">
        <f t="shared" si="8"/>
        <v>19.756666666666668</v>
      </c>
      <c r="L86" s="38">
        <f t="shared" si="9"/>
        <v>146.24333333333334</v>
      </c>
      <c r="M86" s="53">
        <v>144.5</v>
      </c>
      <c r="N86" s="38">
        <f t="shared" si="10"/>
        <v>19.756666666666668</v>
      </c>
      <c r="O86" s="38">
        <f t="shared" si="11"/>
        <v>124.74333333333334</v>
      </c>
      <c r="P86" s="38"/>
      <c r="Q86" s="38"/>
      <c r="R86" s="38">
        <f t="shared" si="12"/>
        <v>17.235390000801644</v>
      </c>
      <c r="S86" s="9"/>
    </row>
    <row r="87" spans="1:19" x14ac:dyDescent="0.25">
      <c r="A87" s="5" t="s">
        <v>24</v>
      </c>
      <c r="B87" s="9" t="s">
        <v>30</v>
      </c>
      <c r="C87" s="9" t="s">
        <v>400</v>
      </c>
      <c r="D87" s="22">
        <v>45889</v>
      </c>
      <c r="E87" s="9">
        <v>2</v>
      </c>
      <c r="F87" s="10" t="s">
        <v>56</v>
      </c>
      <c r="G87" s="9" t="s">
        <v>116</v>
      </c>
      <c r="H87" s="9">
        <v>154</v>
      </c>
      <c r="I87" s="9" t="s">
        <v>205</v>
      </c>
      <c r="J87" s="38">
        <f t="shared" si="7"/>
        <v>154</v>
      </c>
      <c r="K87" s="38">
        <f t="shared" si="8"/>
        <v>19.756666666666668</v>
      </c>
      <c r="L87" s="38">
        <f t="shared" si="9"/>
        <v>134.24333333333334</v>
      </c>
      <c r="M87" s="53">
        <v>141.19</v>
      </c>
      <c r="N87" s="38">
        <f t="shared" si="10"/>
        <v>19.756666666666668</v>
      </c>
      <c r="O87" s="38">
        <f t="shared" si="11"/>
        <v>121.43333333333334</v>
      </c>
      <c r="P87" s="38"/>
      <c r="Q87" s="38"/>
      <c r="R87" s="38">
        <f t="shared" si="12"/>
        <v>10.548998078506727</v>
      </c>
      <c r="S87" s="9"/>
    </row>
    <row r="88" spans="1:19" x14ac:dyDescent="0.25">
      <c r="A88" s="5" t="s">
        <v>24</v>
      </c>
      <c r="B88" s="9" t="s">
        <v>30</v>
      </c>
      <c r="C88" s="9" t="s">
        <v>32</v>
      </c>
      <c r="D88" s="22">
        <v>45889</v>
      </c>
      <c r="E88" s="9">
        <v>2</v>
      </c>
      <c r="F88" s="10" t="s">
        <v>57</v>
      </c>
      <c r="G88" s="9" t="s">
        <v>85</v>
      </c>
      <c r="H88" s="9">
        <v>138</v>
      </c>
      <c r="I88" s="9" t="s">
        <v>206</v>
      </c>
      <c r="J88" s="38">
        <f t="shared" si="7"/>
        <v>138</v>
      </c>
      <c r="K88" s="38">
        <f t="shared" si="8"/>
        <v>19.756666666666668</v>
      </c>
      <c r="L88" s="38">
        <f t="shared" si="9"/>
        <v>118.24333333333334</v>
      </c>
      <c r="M88" s="53">
        <v>126.38</v>
      </c>
      <c r="N88" s="38">
        <f t="shared" si="10"/>
        <v>19.756666666666668</v>
      </c>
      <c r="O88" s="38">
        <f t="shared" si="11"/>
        <v>106.62333333333333</v>
      </c>
      <c r="P88" s="38"/>
      <c r="Q88" s="38"/>
      <c r="R88" s="38">
        <f t="shared" si="12"/>
        <v>10.898177384562482</v>
      </c>
      <c r="S88" s="9"/>
    </row>
    <row r="89" spans="1:19" ht="30" x14ac:dyDescent="0.25">
      <c r="A89" s="5" t="s">
        <v>24</v>
      </c>
      <c r="B89" s="9" t="s">
        <v>30</v>
      </c>
      <c r="C89" s="9" t="s">
        <v>33</v>
      </c>
      <c r="D89" s="22">
        <v>45889</v>
      </c>
      <c r="E89" s="9">
        <v>1</v>
      </c>
      <c r="F89" s="10" t="s">
        <v>58</v>
      </c>
      <c r="G89" s="9" t="s">
        <v>74</v>
      </c>
      <c r="H89" s="9">
        <v>130</v>
      </c>
      <c r="I89" s="9" t="s">
        <v>207</v>
      </c>
      <c r="J89" s="38">
        <f t="shared" si="7"/>
        <v>130</v>
      </c>
      <c r="K89" s="38">
        <f t="shared" si="8"/>
        <v>19.756666666666668</v>
      </c>
      <c r="L89" s="38">
        <f t="shared" si="9"/>
        <v>110.24333333333334</v>
      </c>
      <c r="M89" s="53">
        <v>124.46</v>
      </c>
      <c r="N89" s="38">
        <f t="shared" si="10"/>
        <v>19.756666666666668</v>
      </c>
      <c r="O89" s="38">
        <f t="shared" si="11"/>
        <v>104.70333333333332</v>
      </c>
      <c r="P89" s="38"/>
      <c r="Q89" s="38"/>
      <c r="R89" s="38">
        <f t="shared" si="12"/>
        <v>5.2911400464805523</v>
      </c>
      <c r="S89" s="9"/>
    </row>
    <row r="90" spans="1:19" x14ac:dyDescent="0.25">
      <c r="A90" s="5" t="s">
        <v>24</v>
      </c>
      <c r="B90" s="9" t="s">
        <v>30</v>
      </c>
      <c r="C90" s="9" t="s">
        <v>34</v>
      </c>
      <c r="D90" s="22">
        <v>45889</v>
      </c>
      <c r="E90" s="9">
        <v>1</v>
      </c>
      <c r="F90" s="10" t="s">
        <v>59</v>
      </c>
      <c r="G90" s="9" t="s">
        <v>74</v>
      </c>
      <c r="H90" s="9">
        <v>82</v>
      </c>
      <c r="I90" s="9" t="s">
        <v>208</v>
      </c>
      <c r="J90" s="38">
        <f t="shared" si="7"/>
        <v>82</v>
      </c>
      <c r="K90" s="38">
        <f t="shared" si="8"/>
        <v>19.756666666666668</v>
      </c>
      <c r="L90" s="38">
        <f t="shared" si="9"/>
        <v>62.243333333333332</v>
      </c>
      <c r="M90" s="53">
        <v>77.98</v>
      </c>
      <c r="N90" s="38">
        <f t="shared" si="10"/>
        <v>19.756666666666668</v>
      </c>
      <c r="O90" s="38">
        <f t="shared" si="11"/>
        <v>58.223333333333336</v>
      </c>
      <c r="P90" s="38"/>
      <c r="Q90" s="38"/>
      <c r="R90" s="38">
        <f t="shared" si="12"/>
        <v>6.904448388389528</v>
      </c>
      <c r="S90" s="9"/>
    </row>
    <row r="91" spans="1:19" ht="30" x14ac:dyDescent="0.25">
      <c r="A91" s="5" t="s">
        <v>24</v>
      </c>
      <c r="B91" s="9" t="s">
        <v>30</v>
      </c>
      <c r="C91" s="9" t="s">
        <v>35</v>
      </c>
      <c r="D91" s="22">
        <v>45889</v>
      </c>
      <c r="E91" s="9">
        <v>1</v>
      </c>
      <c r="F91" s="10" t="s">
        <v>60</v>
      </c>
      <c r="G91" s="9" t="s">
        <v>74</v>
      </c>
      <c r="H91" s="9">
        <v>73</v>
      </c>
      <c r="I91" s="9" t="s">
        <v>209</v>
      </c>
      <c r="J91" s="38">
        <f t="shared" si="7"/>
        <v>73</v>
      </c>
      <c r="K91" s="38">
        <f t="shared" si="8"/>
        <v>19.756666666666668</v>
      </c>
      <c r="L91" s="38">
        <f t="shared" si="9"/>
        <v>53.243333333333332</v>
      </c>
      <c r="M91" s="53">
        <v>65.69</v>
      </c>
      <c r="N91" s="38">
        <f t="shared" si="10"/>
        <v>19.756666666666668</v>
      </c>
      <c r="O91" s="38">
        <f t="shared" si="11"/>
        <v>45.93333333333333</v>
      </c>
      <c r="P91" s="38"/>
      <c r="Q91" s="38"/>
      <c r="R91" s="38">
        <f t="shared" si="12"/>
        <v>15.914368650217714</v>
      </c>
      <c r="S91" s="9"/>
    </row>
    <row r="92" spans="1:19" ht="30" x14ac:dyDescent="0.25">
      <c r="A92" s="5" t="s">
        <v>24</v>
      </c>
      <c r="B92" s="9" t="s">
        <v>30</v>
      </c>
      <c r="C92" s="9" t="s">
        <v>36</v>
      </c>
      <c r="D92" s="22">
        <v>45889</v>
      </c>
      <c r="E92" s="9">
        <v>1</v>
      </c>
      <c r="F92" s="10" t="s">
        <v>61</v>
      </c>
      <c r="G92" s="9" t="s">
        <v>74</v>
      </c>
      <c r="H92" s="9">
        <v>73</v>
      </c>
      <c r="I92" s="9" t="s">
        <v>210</v>
      </c>
      <c r="J92" s="38">
        <f t="shared" si="7"/>
        <v>73</v>
      </c>
      <c r="K92" s="38">
        <f t="shared" si="8"/>
        <v>19.756666666666668</v>
      </c>
      <c r="L92" s="38">
        <f t="shared" si="9"/>
        <v>53.243333333333332</v>
      </c>
      <c r="M92" s="53">
        <v>65.33</v>
      </c>
      <c r="N92" s="38">
        <f t="shared" si="10"/>
        <v>19.756666666666668</v>
      </c>
      <c r="O92" s="38">
        <f t="shared" si="11"/>
        <v>45.573333333333331</v>
      </c>
      <c r="P92" s="38"/>
      <c r="Q92" s="38"/>
      <c r="R92" s="38">
        <f t="shared" si="12"/>
        <v>16.830017554125224</v>
      </c>
      <c r="S92" s="9"/>
    </row>
    <row r="93" spans="1:19" ht="30" x14ac:dyDescent="0.25">
      <c r="A93" s="5" t="s">
        <v>24</v>
      </c>
      <c r="B93" s="9" t="s">
        <v>30</v>
      </c>
      <c r="C93" s="9" t="s">
        <v>37</v>
      </c>
      <c r="D93" s="22">
        <v>45889</v>
      </c>
      <c r="E93" s="9">
        <v>1</v>
      </c>
      <c r="F93" s="10" t="s">
        <v>62</v>
      </c>
      <c r="G93" s="9" t="s">
        <v>74</v>
      </c>
      <c r="H93" s="9">
        <v>74</v>
      </c>
      <c r="I93" s="9" t="s">
        <v>211</v>
      </c>
      <c r="J93" s="38">
        <f t="shared" si="7"/>
        <v>74</v>
      </c>
      <c r="K93" s="38">
        <f t="shared" si="8"/>
        <v>19.756666666666668</v>
      </c>
      <c r="L93" s="38">
        <f t="shared" si="9"/>
        <v>54.243333333333332</v>
      </c>
      <c r="M93" s="53">
        <v>67.650000000000006</v>
      </c>
      <c r="N93" s="38">
        <f t="shared" si="10"/>
        <v>19.756666666666668</v>
      </c>
      <c r="O93" s="38">
        <f t="shared" si="11"/>
        <v>47.893333333333338</v>
      </c>
      <c r="P93" s="38"/>
      <c r="Q93" s="38"/>
      <c r="R93" s="38">
        <f t="shared" si="12"/>
        <v>13.258630289532281</v>
      </c>
      <c r="S93" s="9"/>
    </row>
    <row r="94" spans="1:19" x14ac:dyDescent="0.25">
      <c r="A94" s="5" t="s">
        <v>24</v>
      </c>
      <c r="B94" s="9" t="s">
        <v>30</v>
      </c>
      <c r="C94" s="9" t="s">
        <v>38</v>
      </c>
      <c r="D94" s="22">
        <v>45889</v>
      </c>
      <c r="E94" s="9">
        <v>1</v>
      </c>
      <c r="F94" s="10" t="s">
        <v>63</v>
      </c>
      <c r="G94" s="9" t="s">
        <v>74</v>
      </c>
      <c r="H94" s="9">
        <v>61</v>
      </c>
      <c r="I94" s="9" t="s">
        <v>212</v>
      </c>
      <c r="J94" s="38">
        <f t="shared" si="7"/>
        <v>61</v>
      </c>
      <c r="K94" s="38">
        <f t="shared" si="8"/>
        <v>19.756666666666668</v>
      </c>
      <c r="L94" s="38">
        <f t="shared" si="9"/>
        <v>41.243333333333332</v>
      </c>
      <c r="M94" s="53">
        <v>53.63</v>
      </c>
      <c r="N94" s="38">
        <f t="shared" si="10"/>
        <v>19.756666666666668</v>
      </c>
      <c r="O94" s="38">
        <f t="shared" si="11"/>
        <v>33.873333333333335</v>
      </c>
      <c r="P94" s="38"/>
      <c r="Q94" s="38"/>
      <c r="R94" s="38">
        <f t="shared" si="12"/>
        <v>21.757528045660294</v>
      </c>
      <c r="S94" s="9"/>
    </row>
    <row r="95" spans="1:19" ht="30" x14ac:dyDescent="0.25">
      <c r="A95" s="5" t="s">
        <v>24</v>
      </c>
      <c r="B95" s="9" t="s">
        <v>30</v>
      </c>
      <c r="C95" s="9" t="s">
        <v>39</v>
      </c>
      <c r="D95" s="22">
        <v>45889</v>
      </c>
      <c r="E95" s="9">
        <v>1</v>
      </c>
      <c r="F95" s="10" t="s">
        <v>64</v>
      </c>
      <c r="G95" s="9" t="s">
        <v>74</v>
      </c>
      <c r="H95" s="9">
        <v>77</v>
      </c>
      <c r="I95" s="9" t="s">
        <v>213</v>
      </c>
      <c r="J95" s="38">
        <f t="shared" si="7"/>
        <v>77</v>
      </c>
      <c r="K95" s="38">
        <f t="shared" si="8"/>
        <v>19.756666666666668</v>
      </c>
      <c r="L95" s="38">
        <f t="shared" si="9"/>
        <v>57.243333333333332</v>
      </c>
      <c r="M95" s="53">
        <v>69.59</v>
      </c>
      <c r="N95" s="38">
        <f t="shared" si="10"/>
        <v>19.756666666666668</v>
      </c>
      <c r="O95" s="38">
        <f t="shared" si="11"/>
        <v>49.833333333333336</v>
      </c>
      <c r="P95" s="38"/>
      <c r="Q95" s="38"/>
      <c r="R95" s="38">
        <f t="shared" si="12"/>
        <v>14.869565217391298</v>
      </c>
      <c r="S95" s="9"/>
    </row>
    <row r="96" spans="1:19" ht="60" x14ac:dyDescent="0.25">
      <c r="A96" s="5" t="s">
        <v>24</v>
      </c>
      <c r="B96" s="9" t="s">
        <v>30</v>
      </c>
      <c r="C96" s="9" t="s">
        <v>40</v>
      </c>
      <c r="D96" s="22">
        <v>45889</v>
      </c>
      <c r="E96" s="9">
        <v>1</v>
      </c>
      <c r="F96" s="10" t="s">
        <v>65</v>
      </c>
      <c r="G96" s="9" t="s">
        <v>74</v>
      </c>
      <c r="H96" s="9">
        <v>18</v>
      </c>
      <c r="I96" s="9" t="s">
        <v>214</v>
      </c>
      <c r="J96" s="38">
        <f t="shared" si="7"/>
        <v>18</v>
      </c>
      <c r="K96" s="38">
        <f t="shared" si="8"/>
        <v>19.756666666666668</v>
      </c>
      <c r="L96" s="38">
        <f t="shared" si="9"/>
        <v>-1.7566666666666677</v>
      </c>
      <c r="M96" s="53">
        <v>45.91</v>
      </c>
      <c r="N96" s="38">
        <f t="shared" si="10"/>
        <v>19.756666666666668</v>
      </c>
      <c r="O96" s="38">
        <f t="shared" si="11"/>
        <v>26.153333333333329</v>
      </c>
      <c r="P96" s="38"/>
      <c r="Q96" s="38"/>
      <c r="R96" s="38">
        <f t="shared" si="12"/>
        <v>-106.71679836859546</v>
      </c>
      <c r="S96" s="9" t="s">
        <v>389</v>
      </c>
    </row>
    <row r="97" spans="1:19" x14ac:dyDescent="0.25">
      <c r="A97" s="5" t="s">
        <v>24</v>
      </c>
      <c r="B97" s="9" t="s">
        <v>30</v>
      </c>
      <c r="C97" s="9" t="s">
        <v>41</v>
      </c>
      <c r="D97" s="22">
        <v>45889</v>
      </c>
      <c r="E97" s="9">
        <v>1</v>
      </c>
      <c r="F97" s="10" t="s">
        <v>66</v>
      </c>
      <c r="G97" s="9" t="s">
        <v>74</v>
      </c>
      <c r="H97" s="9">
        <v>58</v>
      </c>
      <c r="I97" s="9" t="s">
        <v>214</v>
      </c>
      <c r="J97" s="38">
        <f t="shared" si="7"/>
        <v>58</v>
      </c>
      <c r="K97" s="38">
        <f t="shared" si="8"/>
        <v>19.756666666666668</v>
      </c>
      <c r="L97" s="38">
        <f t="shared" si="9"/>
        <v>38.243333333333332</v>
      </c>
      <c r="M97" s="53">
        <v>52.63</v>
      </c>
      <c r="N97" s="38">
        <f t="shared" si="10"/>
        <v>19.756666666666668</v>
      </c>
      <c r="O97" s="38">
        <f t="shared" si="11"/>
        <v>32.873333333333335</v>
      </c>
      <c r="P97" s="38"/>
      <c r="Q97" s="38"/>
      <c r="R97" s="38">
        <f t="shared" si="12"/>
        <v>16.335428919083341</v>
      </c>
      <c r="S97" s="9"/>
    </row>
    <row r="98" spans="1:19" s="35" customFormat="1" ht="15.75" thickBot="1" x14ac:dyDescent="0.3">
      <c r="A98" s="19" t="s">
        <v>24</v>
      </c>
      <c r="B98" s="11" t="s">
        <v>30</v>
      </c>
      <c r="C98" s="11" t="s">
        <v>42</v>
      </c>
      <c r="D98" s="23">
        <v>45889</v>
      </c>
      <c r="E98" s="11">
        <v>1</v>
      </c>
      <c r="F98" s="14" t="s">
        <v>67</v>
      </c>
      <c r="G98" s="11" t="s">
        <v>74</v>
      </c>
      <c r="H98" s="11">
        <v>49</v>
      </c>
      <c r="I98" s="11" t="s">
        <v>215</v>
      </c>
      <c r="J98" s="41">
        <f t="shared" si="7"/>
        <v>49</v>
      </c>
      <c r="K98" s="41">
        <f t="shared" si="8"/>
        <v>19.756666666666668</v>
      </c>
      <c r="L98" s="41">
        <f t="shared" si="9"/>
        <v>29.243333333333332</v>
      </c>
      <c r="M98" s="54">
        <v>44.81</v>
      </c>
      <c r="N98" s="41">
        <f t="shared" si="10"/>
        <v>19.756666666666668</v>
      </c>
      <c r="O98" s="41">
        <f t="shared" si="11"/>
        <v>25.053333333333335</v>
      </c>
      <c r="P98" s="41"/>
      <c r="Q98" s="41"/>
      <c r="R98" s="41">
        <f t="shared" si="12"/>
        <v>16.72432144757849</v>
      </c>
      <c r="S98" s="11"/>
    </row>
    <row r="99" spans="1:19" x14ac:dyDescent="0.25">
      <c r="A99" s="20" t="s">
        <v>24</v>
      </c>
      <c r="B99" s="12" t="s">
        <v>30</v>
      </c>
      <c r="C99" s="12" t="s">
        <v>43</v>
      </c>
      <c r="D99" s="24">
        <v>45889</v>
      </c>
      <c r="E99" s="12">
        <v>5</v>
      </c>
      <c r="F99" s="13" t="s">
        <v>68</v>
      </c>
      <c r="G99" s="12" t="s">
        <v>74</v>
      </c>
      <c r="H99" s="59"/>
      <c r="I99" s="12" t="s">
        <v>378</v>
      </c>
      <c r="J99" s="51"/>
      <c r="K99" s="51"/>
      <c r="L99" s="51"/>
      <c r="M99" s="52">
        <v>105.82</v>
      </c>
      <c r="N99" s="40">
        <f t="shared" si="10"/>
        <v>19.756666666666668</v>
      </c>
      <c r="O99" s="40">
        <f t="shared" si="11"/>
        <v>86.063333333333333</v>
      </c>
      <c r="P99" s="40">
        <v>4.5</v>
      </c>
      <c r="Q99" s="40"/>
      <c r="R99" s="51"/>
      <c r="S99" s="12" t="s">
        <v>386</v>
      </c>
    </row>
    <row r="100" spans="1:19" x14ac:dyDescent="0.25">
      <c r="A100" s="5" t="s">
        <v>24</v>
      </c>
      <c r="B100" s="9" t="s">
        <v>27</v>
      </c>
      <c r="C100" s="9" t="s">
        <v>392</v>
      </c>
      <c r="D100" s="22">
        <v>45888</v>
      </c>
      <c r="E100" s="9">
        <v>2</v>
      </c>
      <c r="F100" s="10" t="s">
        <v>48</v>
      </c>
      <c r="G100" s="9" t="s">
        <v>85</v>
      </c>
      <c r="H100" s="9">
        <v>137</v>
      </c>
      <c r="I100" s="9" t="s">
        <v>153</v>
      </c>
      <c r="J100" s="38">
        <f t="shared" ref="J100:J131" si="13">H100</f>
        <v>137</v>
      </c>
      <c r="K100" s="38">
        <f t="shared" ref="K100:K131" si="14">AVERAGE(19.9,19.77,19.6)</f>
        <v>19.756666666666668</v>
      </c>
      <c r="L100" s="38">
        <f t="shared" ref="L100:L131" si="15">J100-K100</f>
        <v>117.24333333333334</v>
      </c>
      <c r="M100" s="53">
        <v>132.54</v>
      </c>
      <c r="N100" s="38">
        <f t="shared" si="10"/>
        <v>19.756666666666668</v>
      </c>
      <c r="O100" s="38">
        <f t="shared" si="11"/>
        <v>112.78333333333333</v>
      </c>
      <c r="P100" s="38"/>
      <c r="Q100" s="38"/>
      <c r="R100" s="38">
        <f t="shared" ref="R100:R131" si="16">((L100-O100)/O100)*100</f>
        <v>3.9544850007388868</v>
      </c>
      <c r="S100" s="9"/>
    </row>
    <row r="101" spans="1:19" ht="30" x14ac:dyDescent="0.25">
      <c r="A101" s="5" t="s">
        <v>24</v>
      </c>
      <c r="B101" s="9" t="s">
        <v>27</v>
      </c>
      <c r="C101" s="9" t="s">
        <v>393</v>
      </c>
      <c r="D101" s="22">
        <v>45888</v>
      </c>
      <c r="E101" s="9">
        <v>2</v>
      </c>
      <c r="F101" s="10" t="s">
        <v>49</v>
      </c>
      <c r="G101" s="9" t="s">
        <v>85</v>
      </c>
      <c r="H101" s="9">
        <v>84</v>
      </c>
      <c r="I101" s="9" t="s">
        <v>154</v>
      </c>
      <c r="J101" s="38">
        <f t="shared" si="13"/>
        <v>84</v>
      </c>
      <c r="K101" s="38">
        <f t="shared" si="14"/>
        <v>19.756666666666668</v>
      </c>
      <c r="L101" s="38">
        <f t="shared" si="15"/>
        <v>64.243333333333339</v>
      </c>
      <c r="M101" s="53">
        <v>80.39</v>
      </c>
      <c r="N101" s="38">
        <f t="shared" si="10"/>
        <v>19.756666666666668</v>
      </c>
      <c r="O101" s="38">
        <f t="shared" si="11"/>
        <v>60.633333333333333</v>
      </c>
      <c r="P101" s="38"/>
      <c r="Q101" s="38"/>
      <c r="R101" s="38">
        <f t="shared" si="16"/>
        <v>5.9538207806487193</v>
      </c>
      <c r="S101" s="9"/>
    </row>
    <row r="102" spans="1:19" x14ac:dyDescent="0.25">
      <c r="A102" s="5" t="s">
        <v>24</v>
      </c>
      <c r="B102" s="9" t="s">
        <v>27</v>
      </c>
      <c r="C102" s="9" t="s">
        <v>394</v>
      </c>
      <c r="D102" s="22">
        <v>45888</v>
      </c>
      <c r="E102" s="9">
        <v>2</v>
      </c>
      <c r="F102" s="10" t="s">
        <v>50</v>
      </c>
      <c r="G102" s="9" t="s">
        <v>85</v>
      </c>
      <c r="H102" s="9">
        <v>67</v>
      </c>
      <c r="I102" s="9" t="s">
        <v>155</v>
      </c>
      <c r="J102" s="38">
        <f t="shared" si="13"/>
        <v>67</v>
      </c>
      <c r="K102" s="38">
        <f t="shared" si="14"/>
        <v>19.756666666666668</v>
      </c>
      <c r="L102" s="38">
        <f t="shared" si="15"/>
        <v>47.243333333333332</v>
      </c>
      <c r="M102" s="53">
        <v>62.1</v>
      </c>
      <c r="N102" s="38">
        <f t="shared" si="10"/>
        <v>19.756666666666668</v>
      </c>
      <c r="O102" s="38">
        <f t="shared" si="11"/>
        <v>42.343333333333334</v>
      </c>
      <c r="P102" s="38"/>
      <c r="Q102" s="38"/>
      <c r="R102" s="38">
        <f t="shared" si="16"/>
        <v>11.572069589860659</v>
      </c>
      <c r="S102" s="9"/>
    </row>
    <row r="103" spans="1:19" x14ac:dyDescent="0.25">
      <c r="A103" s="5" t="s">
        <v>24</v>
      </c>
      <c r="B103" s="9" t="s">
        <v>27</v>
      </c>
      <c r="C103" s="9" t="s">
        <v>395</v>
      </c>
      <c r="D103" s="22">
        <v>45888</v>
      </c>
      <c r="E103" s="9">
        <v>2</v>
      </c>
      <c r="F103" s="10" t="s">
        <v>51</v>
      </c>
      <c r="G103" s="9" t="s">
        <v>85</v>
      </c>
      <c r="H103" s="9">
        <v>77</v>
      </c>
      <c r="I103" s="9" t="s">
        <v>156</v>
      </c>
      <c r="J103" s="38">
        <f t="shared" si="13"/>
        <v>77</v>
      </c>
      <c r="K103" s="38">
        <f t="shared" si="14"/>
        <v>19.756666666666668</v>
      </c>
      <c r="L103" s="38">
        <f t="shared" si="15"/>
        <v>57.243333333333332</v>
      </c>
      <c r="M103" s="53">
        <v>69.98</v>
      </c>
      <c r="N103" s="38">
        <f t="shared" si="10"/>
        <v>19.756666666666668</v>
      </c>
      <c r="O103" s="38">
        <f t="shared" si="11"/>
        <v>50.223333333333336</v>
      </c>
      <c r="P103" s="38"/>
      <c r="Q103" s="38"/>
      <c r="R103" s="38">
        <f t="shared" si="16"/>
        <v>13.977566867989639</v>
      </c>
      <c r="S103" s="9"/>
    </row>
    <row r="104" spans="1:19" x14ac:dyDescent="0.25">
      <c r="A104" s="5" t="s">
        <v>24</v>
      </c>
      <c r="B104" s="9" t="s">
        <v>27</v>
      </c>
      <c r="C104" s="9" t="s">
        <v>396</v>
      </c>
      <c r="D104" s="22">
        <v>45888</v>
      </c>
      <c r="E104" s="9">
        <v>2</v>
      </c>
      <c r="F104" s="10" t="s">
        <v>52</v>
      </c>
      <c r="G104" s="9" t="s">
        <v>85</v>
      </c>
      <c r="H104" s="9">
        <v>87</v>
      </c>
      <c r="I104" s="9" t="s">
        <v>156</v>
      </c>
      <c r="J104" s="38">
        <f t="shared" si="13"/>
        <v>87</v>
      </c>
      <c r="K104" s="38">
        <f t="shared" si="14"/>
        <v>19.756666666666668</v>
      </c>
      <c r="L104" s="38">
        <f t="shared" si="15"/>
        <v>67.243333333333339</v>
      </c>
      <c r="M104" s="53">
        <v>81.08</v>
      </c>
      <c r="N104" s="38">
        <f t="shared" si="10"/>
        <v>19.756666666666668</v>
      </c>
      <c r="O104" s="38">
        <f t="shared" si="11"/>
        <v>61.323333333333331</v>
      </c>
      <c r="P104" s="38"/>
      <c r="Q104" s="38"/>
      <c r="R104" s="38">
        <f t="shared" si="16"/>
        <v>9.6537478936783305</v>
      </c>
      <c r="S104" s="9"/>
    </row>
    <row r="105" spans="1:19" x14ac:dyDescent="0.25">
      <c r="A105" s="5" t="s">
        <v>24</v>
      </c>
      <c r="B105" s="9" t="s">
        <v>27</v>
      </c>
      <c r="C105" s="9" t="s">
        <v>397</v>
      </c>
      <c r="D105" s="22">
        <v>45888</v>
      </c>
      <c r="E105" s="9">
        <v>2</v>
      </c>
      <c r="F105" s="10" t="s">
        <v>53</v>
      </c>
      <c r="G105" s="9" t="s">
        <v>85</v>
      </c>
      <c r="H105" s="9">
        <v>89</v>
      </c>
      <c r="I105" s="9" t="s">
        <v>157</v>
      </c>
      <c r="J105" s="38">
        <f t="shared" si="13"/>
        <v>89</v>
      </c>
      <c r="K105" s="38">
        <f t="shared" si="14"/>
        <v>19.756666666666668</v>
      </c>
      <c r="L105" s="38">
        <f t="shared" si="15"/>
        <v>69.243333333333339</v>
      </c>
      <c r="M105" s="53">
        <v>81.819999999999993</v>
      </c>
      <c r="N105" s="38">
        <f t="shared" si="10"/>
        <v>19.756666666666668</v>
      </c>
      <c r="O105" s="38">
        <f t="shared" si="11"/>
        <v>62.063333333333325</v>
      </c>
      <c r="P105" s="38"/>
      <c r="Q105" s="38"/>
      <c r="R105" s="38">
        <f t="shared" si="16"/>
        <v>11.568827541758443</v>
      </c>
      <c r="S105" s="9"/>
    </row>
    <row r="106" spans="1:19" x14ac:dyDescent="0.25">
      <c r="A106" s="5" t="s">
        <v>24</v>
      </c>
      <c r="B106" s="9" t="s">
        <v>27</v>
      </c>
      <c r="C106" s="9" t="s">
        <v>398</v>
      </c>
      <c r="D106" s="22">
        <v>45888</v>
      </c>
      <c r="E106" s="9">
        <v>2</v>
      </c>
      <c r="F106" s="10" t="s">
        <v>54</v>
      </c>
      <c r="G106" s="9" t="s">
        <v>85</v>
      </c>
      <c r="H106" s="9">
        <v>123</v>
      </c>
      <c r="I106" s="9" t="s">
        <v>158</v>
      </c>
      <c r="J106" s="38">
        <f t="shared" si="13"/>
        <v>123</v>
      </c>
      <c r="K106" s="38">
        <f t="shared" si="14"/>
        <v>19.756666666666668</v>
      </c>
      <c r="L106" s="38">
        <f t="shared" si="15"/>
        <v>103.24333333333334</v>
      </c>
      <c r="M106" s="53">
        <v>116.88</v>
      </c>
      <c r="N106" s="38">
        <f t="shared" si="10"/>
        <v>19.756666666666668</v>
      </c>
      <c r="O106" s="38">
        <f t="shared" si="11"/>
        <v>97.123333333333335</v>
      </c>
      <c r="P106" s="38"/>
      <c r="Q106" s="38"/>
      <c r="R106" s="38">
        <f t="shared" si="16"/>
        <v>6.3012664309983908</v>
      </c>
      <c r="S106" s="9"/>
    </row>
    <row r="107" spans="1:19" x14ac:dyDescent="0.25">
      <c r="A107" s="5" t="s">
        <v>24</v>
      </c>
      <c r="B107" s="9" t="s">
        <v>27</v>
      </c>
      <c r="C107" s="9" t="s">
        <v>399</v>
      </c>
      <c r="D107" s="22">
        <v>45888</v>
      </c>
      <c r="E107" s="9">
        <v>2</v>
      </c>
      <c r="F107" s="10" t="s">
        <v>55</v>
      </c>
      <c r="G107" s="9" t="s">
        <v>85</v>
      </c>
      <c r="H107" s="9">
        <v>107</v>
      </c>
      <c r="I107" s="9" t="s">
        <v>159</v>
      </c>
      <c r="J107" s="38">
        <f t="shared" si="13"/>
        <v>107</v>
      </c>
      <c r="K107" s="38">
        <f t="shared" si="14"/>
        <v>19.756666666666668</v>
      </c>
      <c r="L107" s="38">
        <f t="shared" si="15"/>
        <v>87.243333333333339</v>
      </c>
      <c r="M107" s="53">
        <v>98.18</v>
      </c>
      <c r="N107" s="38">
        <f t="shared" si="10"/>
        <v>19.756666666666668</v>
      </c>
      <c r="O107" s="38">
        <f t="shared" si="11"/>
        <v>78.423333333333346</v>
      </c>
      <c r="P107" s="38"/>
      <c r="Q107" s="38"/>
      <c r="R107" s="38">
        <f t="shared" si="16"/>
        <v>11.246652781910136</v>
      </c>
      <c r="S107" s="9"/>
    </row>
    <row r="108" spans="1:19" x14ac:dyDescent="0.25">
      <c r="A108" s="5" t="s">
        <v>24</v>
      </c>
      <c r="B108" s="9" t="s">
        <v>27</v>
      </c>
      <c r="C108" s="9" t="s">
        <v>400</v>
      </c>
      <c r="D108" s="22">
        <v>45888</v>
      </c>
      <c r="E108" s="9">
        <v>2</v>
      </c>
      <c r="F108" s="10" t="s">
        <v>56</v>
      </c>
      <c r="G108" s="9" t="s">
        <v>85</v>
      </c>
      <c r="H108" s="9">
        <v>111</v>
      </c>
      <c r="I108" s="9" t="s">
        <v>160</v>
      </c>
      <c r="J108" s="38">
        <f t="shared" si="13"/>
        <v>111</v>
      </c>
      <c r="K108" s="38">
        <f t="shared" si="14"/>
        <v>19.756666666666668</v>
      </c>
      <c r="L108" s="38">
        <f t="shared" si="15"/>
        <v>91.243333333333339</v>
      </c>
      <c r="M108" s="53">
        <v>103.28</v>
      </c>
      <c r="N108" s="38">
        <f t="shared" si="10"/>
        <v>19.756666666666668</v>
      </c>
      <c r="O108" s="38">
        <f t="shared" si="11"/>
        <v>83.523333333333341</v>
      </c>
      <c r="P108" s="38"/>
      <c r="Q108" s="38"/>
      <c r="R108" s="38">
        <f t="shared" si="16"/>
        <v>9.2429261284271842</v>
      </c>
      <c r="S108" s="9"/>
    </row>
    <row r="109" spans="1:19" x14ac:dyDescent="0.25">
      <c r="A109" s="5" t="s">
        <v>24</v>
      </c>
      <c r="B109" s="9" t="s">
        <v>27</v>
      </c>
      <c r="C109" s="9" t="s">
        <v>32</v>
      </c>
      <c r="D109" s="22">
        <v>45888</v>
      </c>
      <c r="E109" s="9">
        <v>2</v>
      </c>
      <c r="F109" s="10" t="s">
        <v>57</v>
      </c>
      <c r="G109" s="9" t="s">
        <v>85</v>
      </c>
      <c r="H109" s="9">
        <v>107</v>
      </c>
      <c r="I109" s="9" t="s">
        <v>161</v>
      </c>
      <c r="J109" s="38">
        <f t="shared" si="13"/>
        <v>107</v>
      </c>
      <c r="K109" s="38">
        <f t="shared" si="14"/>
        <v>19.756666666666668</v>
      </c>
      <c r="L109" s="38">
        <f t="shared" si="15"/>
        <v>87.243333333333339</v>
      </c>
      <c r="M109" s="53">
        <v>98.07</v>
      </c>
      <c r="N109" s="38">
        <f t="shared" si="10"/>
        <v>19.756666666666668</v>
      </c>
      <c r="O109" s="38">
        <f t="shared" si="11"/>
        <v>78.313333333333333</v>
      </c>
      <c r="P109" s="38"/>
      <c r="Q109" s="38"/>
      <c r="R109" s="38">
        <f t="shared" si="16"/>
        <v>11.402911381629361</v>
      </c>
      <c r="S109" s="9"/>
    </row>
    <row r="110" spans="1:19" x14ac:dyDescent="0.25">
      <c r="A110" s="5" t="s">
        <v>24</v>
      </c>
      <c r="B110" s="9" t="s">
        <v>27</v>
      </c>
      <c r="C110" s="9" t="s">
        <v>33</v>
      </c>
      <c r="D110" s="22">
        <v>45888</v>
      </c>
      <c r="E110" s="9">
        <v>1</v>
      </c>
      <c r="F110" s="10" t="s">
        <v>58</v>
      </c>
      <c r="G110" s="9" t="s">
        <v>85</v>
      </c>
      <c r="H110" s="9">
        <v>66</v>
      </c>
      <c r="I110" s="9" t="s">
        <v>162</v>
      </c>
      <c r="J110" s="38">
        <f t="shared" si="13"/>
        <v>66</v>
      </c>
      <c r="K110" s="38">
        <f t="shared" si="14"/>
        <v>19.756666666666668</v>
      </c>
      <c r="L110" s="38">
        <f t="shared" si="15"/>
        <v>46.243333333333332</v>
      </c>
      <c r="M110" s="53">
        <v>63.06</v>
      </c>
      <c r="N110" s="38">
        <f t="shared" si="10"/>
        <v>19.756666666666668</v>
      </c>
      <c r="O110" s="38">
        <f t="shared" si="11"/>
        <v>43.303333333333335</v>
      </c>
      <c r="P110" s="38"/>
      <c r="Q110" s="38"/>
      <c r="R110" s="38">
        <f t="shared" si="16"/>
        <v>6.789315680086208</v>
      </c>
      <c r="S110" s="9"/>
    </row>
    <row r="111" spans="1:19" x14ac:dyDescent="0.25">
      <c r="A111" s="5" t="s">
        <v>24</v>
      </c>
      <c r="B111" s="9" t="s">
        <v>27</v>
      </c>
      <c r="C111" s="9" t="s">
        <v>34</v>
      </c>
      <c r="D111" s="22">
        <v>45888</v>
      </c>
      <c r="E111" s="9">
        <v>1</v>
      </c>
      <c r="F111" s="10" t="s">
        <v>59</v>
      </c>
      <c r="G111" s="9" t="s">
        <v>85</v>
      </c>
      <c r="H111" s="9">
        <v>64</v>
      </c>
      <c r="I111" s="9" t="s">
        <v>162</v>
      </c>
      <c r="J111" s="38">
        <f t="shared" si="13"/>
        <v>64</v>
      </c>
      <c r="K111" s="38">
        <f t="shared" si="14"/>
        <v>19.756666666666668</v>
      </c>
      <c r="L111" s="38">
        <f t="shared" si="15"/>
        <v>44.243333333333332</v>
      </c>
      <c r="M111" s="53">
        <v>58.96</v>
      </c>
      <c r="N111" s="38">
        <f t="shared" si="10"/>
        <v>19.756666666666668</v>
      </c>
      <c r="O111" s="38">
        <f t="shared" si="11"/>
        <v>39.203333333333333</v>
      </c>
      <c r="P111" s="38"/>
      <c r="Q111" s="38"/>
      <c r="R111" s="38">
        <f t="shared" si="16"/>
        <v>12.856049655641524</v>
      </c>
      <c r="S111" s="9"/>
    </row>
    <row r="112" spans="1:19" x14ac:dyDescent="0.25">
      <c r="A112" s="5" t="s">
        <v>24</v>
      </c>
      <c r="B112" s="9" t="s">
        <v>27</v>
      </c>
      <c r="C112" s="9" t="s">
        <v>35</v>
      </c>
      <c r="D112" s="22">
        <v>45888</v>
      </c>
      <c r="E112" s="9">
        <v>1</v>
      </c>
      <c r="F112" s="10" t="s">
        <v>60</v>
      </c>
      <c r="G112" s="9" t="s">
        <v>85</v>
      </c>
      <c r="H112" s="9">
        <v>57</v>
      </c>
      <c r="I112" s="9" t="s">
        <v>163</v>
      </c>
      <c r="J112" s="38">
        <f t="shared" si="13"/>
        <v>57</v>
      </c>
      <c r="K112" s="38">
        <f t="shared" si="14"/>
        <v>19.756666666666668</v>
      </c>
      <c r="L112" s="38">
        <f t="shared" si="15"/>
        <v>37.243333333333332</v>
      </c>
      <c r="M112" s="53">
        <v>53.55</v>
      </c>
      <c r="N112" s="38">
        <f t="shared" si="10"/>
        <v>19.756666666666668</v>
      </c>
      <c r="O112" s="38">
        <f t="shared" si="11"/>
        <v>33.793333333333329</v>
      </c>
      <c r="P112" s="38"/>
      <c r="Q112" s="38"/>
      <c r="R112" s="38">
        <f t="shared" si="16"/>
        <v>10.209114223712772</v>
      </c>
      <c r="S112" s="9"/>
    </row>
    <row r="113" spans="1:19" x14ac:dyDescent="0.25">
      <c r="A113" s="5" t="s">
        <v>24</v>
      </c>
      <c r="B113" s="9" t="s">
        <v>27</v>
      </c>
      <c r="C113" s="9" t="s">
        <v>36</v>
      </c>
      <c r="D113" s="22">
        <v>45888</v>
      </c>
      <c r="E113" s="9">
        <v>1</v>
      </c>
      <c r="F113" s="10" t="s">
        <v>61</v>
      </c>
      <c r="G113" s="9" t="s">
        <v>85</v>
      </c>
      <c r="H113" s="9">
        <v>69</v>
      </c>
      <c r="I113" s="9" t="s">
        <v>164</v>
      </c>
      <c r="J113" s="38">
        <f t="shared" si="13"/>
        <v>69</v>
      </c>
      <c r="K113" s="38">
        <f t="shared" si="14"/>
        <v>19.756666666666668</v>
      </c>
      <c r="L113" s="38">
        <f t="shared" si="15"/>
        <v>49.243333333333332</v>
      </c>
      <c r="M113" s="53">
        <v>57.06</v>
      </c>
      <c r="N113" s="38">
        <f t="shared" si="10"/>
        <v>19.756666666666668</v>
      </c>
      <c r="O113" s="38">
        <f t="shared" si="11"/>
        <v>37.303333333333335</v>
      </c>
      <c r="P113" s="38"/>
      <c r="Q113" s="38"/>
      <c r="R113" s="38">
        <f t="shared" si="16"/>
        <v>32.007863461710294</v>
      </c>
      <c r="S113" s="9"/>
    </row>
    <row r="114" spans="1:19" x14ac:dyDescent="0.25">
      <c r="A114" s="5" t="s">
        <v>24</v>
      </c>
      <c r="B114" s="9" t="s">
        <v>27</v>
      </c>
      <c r="C114" s="9" t="s">
        <v>37</v>
      </c>
      <c r="D114" s="22">
        <v>45888</v>
      </c>
      <c r="E114" s="9">
        <v>1</v>
      </c>
      <c r="F114" s="10" t="s">
        <v>62</v>
      </c>
      <c r="G114" s="9" t="s">
        <v>74</v>
      </c>
      <c r="H114" s="9">
        <v>71</v>
      </c>
      <c r="I114" s="9" t="s">
        <v>165</v>
      </c>
      <c r="J114" s="38">
        <f t="shared" si="13"/>
        <v>71</v>
      </c>
      <c r="K114" s="38">
        <f t="shared" si="14"/>
        <v>19.756666666666668</v>
      </c>
      <c r="L114" s="38">
        <f t="shared" si="15"/>
        <v>51.243333333333332</v>
      </c>
      <c r="M114" s="53">
        <v>63.17</v>
      </c>
      <c r="N114" s="38">
        <f t="shared" si="10"/>
        <v>19.756666666666668</v>
      </c>
      <c r="O114" s="38">
        <f t="shared" si="11"/>
        <v>43.413333333333334</v>
      </c>
      <c r="P114" s="38"/>
      <c r="Q114" s="38"/>
      <c r="R114" s="38">
        <f t="shared" si="16"/>
        <v>18.035933660933658</v>
      </c>
      <c r="S114" s="9"/>
    </row>
    <row r="115" spans="1:19" ht="30" x14ac:dyDescent="0.25">
      <c r="A115" s="5" t="s">
        <v>24</v>
      </c>
      <c r="B115" s="9" t="s">
        <v>27</v>
      </c>
      <c r="C115" s="9" t="s">
        <v>38</v>
      </c>
      <c r="D115" s="22">
        <v>45888</v>
      </c>
      <c r="E115" s="9">
        <v>1</v>
      </c>
      <c r="F115" s="10" t="s">
        <v>63</v>
      </c>
      <c r="G115" s="9" t="s">
        <v>74</v>
      </c>
      <c r="H115" s="9">
        <v>63</v>
      </c>
      <c r="I115" s="9" t="s">
        <v>166</v>
      </c>
      <c r="J115" s="38">
        <f t="shared" si="13"/>
        <v>63</v>
      </c>
      <c r="K115" s="38">
        <f t="shared" si="14"/>
        <v>19.756666666666668</v>
      </c>
      <c r="L115" s="38">
        <f t="shared" si="15"/>
        <v>43.243333333333332</v>
      </c>
      <c r="M115" s="53">
        <v>57.59</v>
      </c>
      <c r="N115" s="38">
        <f t="shared" si="10"/>
        <v>19.756666666666668</v>
      </c>
      <c r="O115" s="38">
        <f t="shared" si="11"/>
        <v>37.833333333333336</v>
      </c>
      <c r="P115" s="38"/>
      <c r="Q115" s="38"/>
      <c r="R115" s="38">
        <f t="shared" si="16"/>
        <v>14.299559471365628</v>
      </c>
      <c r="S115" s="9"/>
    </row>
    <row r="116" spans="1:19" x14ac:dyDescent="0.25">
      <c r="A116" s="5" t="s">
        <v>24</v>
      </c>
      <c r="B116" s="9" t="s">
        <v>27</v>
      </c>
      <c r="C116" s="9" t="s">
        <v>39</v>
      </c>
      <c r="D116" s="22">
        <v>45888</v>
      </c>
      <c r="E116" s="9">
        <v>1</v>
      </c>
      <c r="F116" s="10" t="s">
        <v>64</v>
      </c>
      <c r="G116" s="9" t="s">
        <v>74</v>
      </c>
      <c r="H116" s="9">
        <v>67</v>
      </c>
      <c r="I116" s="9" t="s">
        <v>167</v>
      </c>
      <c r="J116" s="38">
        <f t="shared" si="13"/>
        <v>67</v>
      </c>
      <c r="K116" s="38">
        <f t="shared" si="14"/>
        <v>19.756666666666668</v>
      </c>
      <c r="L116" s="38">
        <f t="shared" si="15"/>
        <v>47.243333333333332</v>
      </c>
      <c r="M116" s="53">
        <v>62.12</v>
      </c>
      <c r="N116" s="38">
        <f t="shared" si="10"/>
        <v>19.756666666666668</v>
      </c>
      <c r="O116" s="38">
        <f t="shared" si="11"/>
        <v>42.36333333333333</v>
      </c>
      <c r="P116" s="38"/>
      <c r="Q116" s="38"/>
      <c r="R116" s="38">
        <f t="shared" si="16"/>
        <v>11.519395703831938</v>
      </c>
      <c r="S116" s="9"/>
    </row>
    <row r="117" spans="1:19" x14ac:dyDescent="0.25">
      <c r="A117" s="5" t="s">
        <v>24</v>
      </c>
      <c r="B117" s="9" t="s">
        <v>27</v>
      </c>
      <c r="C117" s="9" t="s">
        <v>40</v>
      </c>
      <c r="D117" s="22">
        <v>45888</v>
      </c>
      <c r="E117" s="9">
        <v>1</v>
      </c>
      <c r="F117" s="10" t="s">
        <v>65</v>
      </c>
      <c r="G117" s="9" t="s">
        <v>74</v>
      </c>
      <c r="H117" s="9">
        <v>66</v>
      </c>
      <c r="I117" s="9" t="s">
        <v>168</v>
      </c>
      <c r="J117" s="38">
        <f t="shared" si="13"/>
        <v>66</v>
      </c>
      <c r="K117" s="38">
        <f t="shared" si="14"/>
        <v>19.756666666666668</v>
      </c>
      <c r="L117" s="38">
        <f t="shared" si="15"/>
        <v>46.243333333333332</v>
      </c>
      <c r="M117" s="53">
        <v>59.38</v>
      </c>
      <c r="N117" s="38">
        <f t="shared" si="10"/>
        <v>19.756666666666668</v>
      </c>
      <c r="O117" s="38">
        <f t="shared" si="11"/>
        <v>39.623333333333335</v>
      </c>
      <c r="P117" s="38"/>
      <c r="Q117" s="38"/>
      <c r="R117" s="38">
        <f t="shared" si="16"/>
        <v>16.707327332379904</v>
      </c>
      <c r="S117" s="9"/>
    </row>
    <row r="118" spans="1:19" x14ac:dyDescent="0.25">
      <c r="A118" s="33" t="s">
        <v>24</v>
      </c>
      <c r="B118" s="21" t="s">
        <v>27</v>
      </c>
      <c r="C118" s="21" t="s">
        <v>41</v>
      </c>
      <c r="D118" s="42">
        <v>45888</v>
      </c>
      <c r="E118" s="21">
        <v>1</v>
      </c>
      <c r="F118" s="34" t="s">
        <v>66</v>
      </c>
      <c r="G118" s="21" t="s">
        <v>74</v>
      </c>
      <c r="H118" s="21">
        <v>63</v>
      </c>
      <c r="I118" s="21" t="s">
        <v>169</v>
      </c>
      <c r="J118" s="43">
        <f t="shared" si="13"/>
        <v>63</v>
      </c>
      <c r="K118" s="43">
        <f t="shared" si="14"/>
        <v>19.756666666666668</v>
      </c>
      <c r="L118" s="43">
        <f t="shared" si="15"/>
        <v>43.243333333333332</v>
      </c>
      <c r="M118" s="55">
        <v>62.44</v>
      </c>
      <c r="N118" s="43">
        <f t="shared" si="10"/>
        <v>19.756666666666668</v>
      </c>
      <c r="O118" s="43">
        <f t="shared" si="11"/>
        <v>42.68333333333333</v>
      </c>
      <c r="P118" s="43"/>
      <c r="Q118" s="43"/>
      <c r="R118" s="43">
        <f t="shared" si="16"/>
        <v>1.3119875048809113</v>
      </c>
      <c r="S118" s="21"/>
    </row>
    <row r="119" spans="1:19" s="49" customFormat="1" ht="15.75" thickBot="1" x14ac:dyDescent="0.3">
      <c r="A119" s="44" t="s">
        <v>24</v>
      </c>
      <c r="B119" s="45" t="s">
        <v>27</v>
      </c>
      <c r="C119" s="45" t="s">
        <v>42</v>
      </c>
      <c r="D119" s="46">
        <v>45888</v>
      </c>
      <c r="E119" s="45">
        <v>1</v>
      </c>
      <c r="F119" s="47" t="s">
        <v>67</v>
      </c>
      <c r="G119" s="45" t="s">
        <v>74</v>
      </c>
      <c r="H119" s="45">
        <v>68</v>
      </c>
      <c r="I119" s="45" t="s">
        <v>170</v>
      </c>
      <c r="J119" s="48">
        <f t="shared" si="13"/>
        <v>68</v>
      </c>
      <c r="K119" s="48">
        <f t="shared" si="14"/>
        <v>19.756666666666668</v>
      </c>
      <c r="L119" s="48">
        <f t="shared" si="15"/>
        <v>48.243333333333332</v>
      </c>
      <c r="M119" s="56">
        <v>65.88</v>
      </c>
      <c r="N119" s="48">
        <f t="shared" si="10"/>
        <v>19.756666666666668</v>
      </c>
      <c r="O119" s="48">
        <f t="shared" si="11"/>
        <v>46.123333333333328</v>
      </c>
      <c r="P119" s="48"/>
      <c r="Q119" s="48"/>
      <c r="R119" s="48">
        <f t="shared" si="16"/>
        <v>4.5963720459637303</v>
      </c>
      <c r="S119" s="45"/>
    </row>
    <row r="120" spans="1:19" ht="60.75" thickTop="1" x14ac:dyDescent="0.25">
      <c r="A120" s="20" t="s">
        <v>24</v>
      </c>
      <c r="B120" s="12" t="s">
        <v>27</v>
      </c>
      <c r="C120" s="12" t="s">
        <v>43</v>
      </c>
      <c r="D120" s="24">
        <v>45888</v>
      </c>
      <c r="E120" s="59"/>
      <c r="F120" s="13" t="s">
        <v>68</v>
      </c>
      <c r="G120" s="12" t="s">
        <v>71</v>
      </c>
      <c r="H120" s="12">
        <v>222</v>
      </c>
      <c r="I120" s="12" t="s">
        <v>171</v>
      </c>
      <c r="J120" s="40">
        <f t="shared" si="13"/>
        <v>222</v>
      </c>
      <c r="K120" s="40">
        <f t="shared" si="14"/>
        <v>19.756666666666668</v>
      </c>
      <c r="L120" s="40">
        <f t="shared" si="15"/>
        <v>202.24333333333334</v>
      </c>
      <c r="M120" s="52">
        <v>217.76</v>
      </c>
      <c r="N120" s="40">
        <f t="shared" ref="N120:N183" si="17">AVERAGE(19.9,19.77,19.6)</f>
        <v>19.756666666666668</v>
      </c>
      <c r="O120" s="40">
        <f t="shared" ref="O120:O183" si="18">M120-N120</f>
        <v>198.00333333333333</v>
      </c>
      <c r="P120" s="40" t="s">
        <v>373</v>
      </c>
      <c r="Q120" s="40"/>
      <c r="R120" s="40">
        <f t="shared" si="16"/>
        <v>2.1413780912779292</v>
      </c>
      <c r="S120" s="12" t="s">
        <v>379</v>
      </c>
    </row>
    <row r="121" spans="1:19" ht="30" hidden="1" x14ac:dyDescent="0.25">
      <c r="A121" s="5" t="s">
        <v>23</v>
      </c>
      <c r="B121" s="9" t="s">
        <v>31</v>
      </c>
      <c r="C121" s="9" t="s">
        <v>392</v>
      </c>
      <c r="D121" s="22">
        <v>45887</v>
      </c>
      <c r="E121" s="9">
        <v>2</v>
      </c>
      <c r="F121" s="10" t="s">
        <v>48</v>
      </c>
      <c r="G121" s="9" t="s">
        <v>116</v>
      </c>
      <c r="H121" s="9">
        <v>109</v>
      </c>
      <c r="I121" s="9" t="s">
        <v>135</v>
      </c>
      <c r="J121" s="38">
        <f t="shared" si="13"/>
        <v>109</v>
      </c>
      <c r="K121" s="38">
        <f t="shared" si="14"/>
        <v>19.756666666666668</v>
      </c>
      <c r="L121" s="38">
        <f t="shared" si="15"/>
        <v>89.243333333333339</v>
      </c>
      <c r="M121" s="38"/>
      <c r="N121" s="38">
        <f t="shared" si="17"/>
        <v>19.756666666666668</v>
      </c>
      <c r="O121" s="38">
        <f t="shared" si="18"/>
        <v>-19.756666666666668</v>
      </c>
      <c r="P121" s="38"/>
      <c r="Q121" s="38"/>
      <c r="R121" s="38">
        <f t="shared" si="16"/>
        <v>-551.71250210899268</v>
      </c>
      <c r="S121" s="9"/>
    </row>
    <row r="122" spans="1:19" hidden="1" x14ac:dyDescent="0.25">
      <c r="A122" s="5" t="s">
        <v>23</v>
      </c>
      <c r="B122" s="9" t="s">
        <v>31</v>
      </c>
      <c r="C122" s="9" t="s">
        <v>393</v>
      </c>
      <c r="D122" s="22">
        <v>45887</v>
      </c>
      <c r="E122" s="9">
        <v>2</v>
      </c>
      <c r="F122" s="10" t="s">
        <v>49</v>
      </c>
      <c r="G122" s="9" t="s">
        <v>116</v>
      </c>
      <c r="H122" s="9">
        <v>122</v>
      </c>
      <c r="I122" s="9" t="s">
        <v>136</v>
      </c>
      <c r="J122" s="38">
        <f t="shared" si="13"/>
        <v>122</v>
      </c>
      <c r="K122" s="38">
        <f t="shared" si="14"/>
        <v>19.756666666666668</v>
      </c>
      <c r="L122" s="38">
        <f t="shared" si="15"/>
        <v>102.24333333333334</v>
      </c>
      <c r="M122" s="38"/>
      <c r="N122" s="38">
        <f t="shared" si="17"/>
        <v>19.756666666666668</v>
      </c>
      <c r="O122" s="38">
        <f t="shared" si="18"/>
        <v>-19.756666666666668</v>
      </c>
      <c r="P122" s="38"/>
      <c r="Q122" s="38"/>
      <c r="R122" s="38">
        <f t="shared" si="16"/>
        <v>-617.51307575501937</v>
      </c>
      <c r="S122" s="9"/>
    </row>
    <row r="123" spans="1:19" hidden="1" x14ac:dyDescent="0.25">
      <c r="A123" s="5" t="s">
        <v>23</v>
      </c>
      <c r="B123" s="9" t="s">
        <v>31</v>
      </c>
      <c r="C123" s="9" t="s">
        <v>394</v>
      </c>
      <c r="D123" s="22">
        <v>45887</v>
      </c>
      <c r="E123" s="9">
        <v>2</v>
      </c>
      <c r="F123" s="10" t="s">
        <v>50</v>
      </c>
      <c r="G123" s="9" t="s">
        <v>116</v>
      </c>
      <c r="H123" s="9">
        <v>91</v>
      </c>
      <c r="I123" s="9" t="s">
        <v>136</v>
      </c>
      <c r="J123" s="38">
        <f t="shared" si="13"/>
        <v>91</v>
      </c>
      <c r="K123" s="38">
        <f t="shared" si="14"/>
        <v>19.756666666666668</v>
      </c>
      <c r="L123" s="38">
        <f t="shared" si="15"/>
        <v>71.243333333333339</v>
      </c>
      <c r="M123" s="38"/>
      <c r="N123" s="38">
        <f t="shared" si="17"/>
        <v>19.756666666666668</v>
      </c>
      <c r="O123" s="38">
        <f t="shared" si="18"/>
        <v>-19.756666666666668</v>
      </c>
      <c r="P123" s="38"/>
      <c r="Q123" s="38"/>
      <c r="R123" s="38">
        <f t="shared" si="16"/>
        <v>-460.60401552218656</v>
      </c>
      <c r="S123" s="9"/>
    </row>
    <row r="124" spans="1:19" hidden="1" x14ac:dyDescent="0.25">
      <c r="A124" s="5" t="s">
        <v>23</v>
      </c>
      <c r="B124" s="9" t="s">
        <v>31</v>
      </c>
      <c r="C124" s="9" t="s">
        <v>395</v>
      </c>
      <c r="D124" s="22">
        <v>45887</v>
      </c>
      <c r="E124" s="9">
        <v>2</v>
      </c>
      <c r="F124" s="10" t="s">
        <v>51</v>
      </c>
      <c r="G124" s="9" t="s">
        <v>116</v>
      </c>
      <c r="H124" s="9">
        <v>139</v>
      </c>
      <c r="I124" s="9" t="s">
        <v>137</v>
      </c>
      <c r="J124" s="38">
        <f t="shared" si="13"/>
        <v>139</v>
      </c>
      <c r="K124" s="38">
        <f t="shared" si="14"/>
        <v>19.756666666666668</v>
      </c>
      <c r="L124" s="38">
        <f t="shared" si="15"/>
        <v>119.24333333333334</v>
      </c>
      <c r="M124" s="38"/>
      <c r="N124" s="38">
        <f t="shared" si="17"/>
        <v>19.756666666666668</v>
      </c>
      <c r="O124" s="38">
        <f t="shared" si="18"/>
        <v>-19.756666666666668</v>
      </c>
      <c r="P124" s="38"/>
      <c r="Q124" s="38"/>
      <c r="R124" s="38">
        <f t="shared" si="16"/>
        <v>-703.55997975366961</v>
      </c>
      <c r="S124" s="9"/>
    </row>
    <row r="125" spans="1:19" hidden="1" x14ac:dyDescent="0.25">
      <c r="A125" s="5" t="s">
        <v>23</v>
      </c>
      <c r="B125" s="9" t="s">
        <v>31</v>
      </c>
      <c r="C125" s="9" t="s">
        <v>396</v>
      </c>
      <c r="D125" s="22">
        <v>45887</v>
      </c>
      <c r="E125" s="9">
        <v>2</v>
      </c>
      <c r="F125" s="10" t="s">
        <v>52</v>
      </c>
      <c r="G125" s="9" t="s">
        <v>116</v>
      </c>
      <c r="H125" s="9">
        <v>77</v>
      </c>
      <c r="I125" s="9" t="s">
        <v>138</v>
      </c>
      <c r="J125" s="38">
        <f t="shared" si="13"/>
        <v>77</v>
      </c>
      <c r="K125" s="38">
        <f t="shared" si="14"/>
        <v>19.756666666666668</v>
      </c>
      <c r="L125" s="38">
        <f t="shared" si="15"/>
        <v>57.243333333333332</v>
      </c>
      <c r="M125" s="38"/>
      <c r="N125" s="38">
        <f t="shared" si="17"/>
        <v>19.756666666666668</v>
      </c>
      <c r="O125" s="38">
        <f t="shared" si="18"/>
        <v>-19.756666666666668</v>
      </c>
      <c r="P125" s="38"/>
      <c r="Q125" s="38"/>
      <c r="R125" s="38">
        <f t="shared" si="16"/>
        <v>-389.74185928800404</v>
      </c>
      <c r="S125" s="9"/>
    </row>
    <row r="126" spans="1:19" hidden="1" x14ac:dyDescent="0.25">
      <c r="A126" s="5" t="s">
        <v>23</v>
      </c>
      <c r="B126" s="9" t="s">
        <v>31</v>
      </c>
      <c r="C126" s="9" t="s">
        <v>397</v>
      </c>
      <c r="D126" s="22">
        <v>45887</v>
      </c>
      <c r="E126" s="9">
        <v>2</v>
      </c>
      <c r="F126" s="10" t="s">
        <v>53</v>
      </c>
      <c r="G126" s="9" t="s">
        <v>116</v>
      </c>
      <c r="H126" s="9">
        <v>115</v>
      </c>
      <c r="I126" s="9" t="s">
        <v>139</v>
      </c>
      <c r="J126" s="38">
        <f t="shared" si="13"/>
        <v>115</v>
      </c>
      <c r="K126" s="38">
        <f t="shared" si="14"/>
        <v>19.756666666666668</v>
      </c>
      <c r="L126" s="38">
        <f t="shared" si="15"/>
        <v>95.243333333333339</v>
      </c>
      <c r="M126" s="38"/>
      <c r="N126" s="38">
        <f t="shared" si="17"/>
        <v>19.756666666666668</v>
      </c>
      <c r="O126" s="38">
        <f t="shared" si="18"/>
        <v>-19.756666666666668</v>
      </c>
      <c r="P126" s="38"/>
      <c r="Q126" s="38"/>
      <c r="R126" s="38">
        <f t="shared" si="16"/>
        <v>-582.08199763792811</v>
      </c>
      <c r="S126" s="9"/>
    </row>
    <row r="127" spans="1:19" hidden="1" x14ac:dyDescent="0.25">
      <c r="A127" s="5" t="s">
        <v>23</v>
      </c>
      <c r="B127" s="9" t="s">
        <v>31</v>
      </c>
      <c r="C127" s="9" t="s">
        <v>398</v>
      </c>
      <c r="D127" s="22">
        <v>45887</v>
      </c>
      <c r="E127" s="9">
        <v>2</v>
      </c>
      <c r="F127" s="10" t="s">
        <v>54</v>
      </c>
      <c r="G127" s="9" t="s">
        <v>116</v>
      </c>
      <c r="H127" s="9">
        <v>85</v>
      </c>
      <c r="I127" s="9" t="s">
        <v>140</v>
      </c>
      <c r="J127" s="38">
        <f t="shared" si="13"/>
        <v>85</v>
      </c>
      <c r="K127" s="38">
        <f t="shared" si="14"/>
        <v>19.756666666666668</v>
      </c>
      <c r="L127" s="38">
        <f t="shared" si="15"/>
        <v>65.243333333333339</v>
      </c>
      <c r="M127" s="38"/>
      <c r="N127" s="38">
        <f t="shared" si="17"/>
        <v>19.756666666666668</v>
      </c>
      <c r="O127" s="38">
        <f t="shared" si="18"/>
        <v>-19.756666666666668</v>
      </c>
      <c r="P127" s="38"/>
      <c r="Q127" s="38"/>
      <c r="R127" s="38">
        <f t="shared" si="16"/>
        <v>-430.23451999325124</v>
      </c>
      <c r="S127" s="9"/>
    </row>
    <row r="128" spans="1:19" hidden="1" x14ac:dyDescent="0.25">
      <c r="A128" s="5" t="s">
        <v>23</v>
      </c>
      <c r="B128" s="9" t="s">
        <v>31</v>
      </c>
      <c r="C128" s="9" t="s">
        <v>399</v>
      </c>
      <c r="D128" s="22">
        <v>45887</v>
      </c>
      <c r="E128" s="9">
        <v>2</v>
      </c>
      <c r="F128" s="10" t="s">
        <v>55</v>
      </c>
      <c r="G128" s="9" t="s">
        <v>116</v>
      </c>
      <c r="H128" s="9">
        <v>122</v>
      </c>
      <c r="I128" s="9" t="s">
        <v>141</v>
      </c>
      <c r="J128" s="38">
        <f t="shared" si="13"/>
        <v>122</v>
      </c>
      <c r="K128" s="38">
        <f t="shared" si="14"/>
        <v>19.756666666666668</v>
      </c>
      <c r="L128" s="38">
        <f t="shared" si="15"/>
        <v>102.24333333333334</v>
      </c>
      <c r="M128" s="38"/>
      <c r="N128" s="38">
        <f t="shared" si="17"/>
        <v>19.756666666666668</v>
      </c>
      <c r="O128" s="38">
        <f t="shared" si="18"/>
        <v>-19.756666666666668</v>
      </c>
      <c r="P128" s="38"/>
      <c r="Q128" s="38"/>
      <c r="R128" s="38">
        <f t="shared" si="16"/>
        <v>-617.51307575501937</v>
      </c>
      <c r="S128" s="9"/>
    </row>
    <row r="129" spans="1:19" hidden="1" x14ac:dyDescent="0.25">
      <c r="A129" s="5" t="s">
        <v>23</v>
      </c>
      <c r="B129" s="9" t="s">
        <v>31</v>
      </c>
      <c r="C129" s="9" t="s">
        <v>400</v>
      </c>
      <c r="D129" s="22">
        <v>45887</v>
      </c>
      <c r="E129" s="9">
        <v>2</v>
      </c>
      <c r="F129" s="10" t="s">
        <v>56</v>
      </c>
      <c r="G129" s="9" t="s">
        <v>116</v>
      </c>
      <c r="H129" s="9">
        <v>118</v>
      </c>
      <c r="I129" s="9" t="s">
        <v>142</v>
      </c>
      <c r="J129" s="38">
        <f t="shared" si="13"/>
        <v>118</v>
      </c>
      <c r="K129" s="38">
        <f t="shared" si="14"/>
        <v>19.756666666666668</v>
      </c>
      <c r="L129" s="38">
        <f t="shared" si="15"/>
        <v>98.243333333333339</v>
      </c>
      <c r="M129" s="38"/>
      <c r="N129" s="38">
        <f t="shared" si="17"/>
        <v>19.756666666666668</v>
      </c>
      <c r="O129" s="38">
        <f t="shared" si="18"/>
        <v>-19.756666666666668</v>
      </c>
      <c r="P129" s="38"/>
      <c r="Q129" s="38"/>
      <c r="R129" s="38">
        <f t="shared" si="16"/>
        <v>-597.26674540239571</v>
      </c>
      <c r="S129" s="9"/>
    </row>
    <row r="130" spans="1:19" hidden="1" x14ac:dyDescent="0.25">
      <c r="A130" s="5" t="s">
        <v>23</v>
      </c>
      <c r="B130" s="9" t="s">
        <v>31</v>
      </c>
      <c r="C130" s="9" t="s">
        <v>32</v>
      </c>
      <c r="D130" s="22">
        <v>45887</v>
      </c>
      <c r="E130" s="9">
        <v>2</v>
      </c>
      <c r="F130" s="10" t="s">
        <v>57</v>
      </c>
      <c r="G130" s="9" t="s">
        <v>85</v>
      </c>
      <c r="H130" s="9">
        <v>125</v>
      </c>
      <c r="I130" s="9" t="s">
        <v>142</v>
      </c>
      <c r="J130" s="38">
        <f t="shared" si="13"/>
        <v>125</v>
      </c>
      <c r="K130" s="38">
        <f t="shared" si="14"/>
        <v>19.756666666666668</v>
      </c>
      <c r="L130" s="38">
        <f t="shared" si="15"/>
        <v>105.24333333333334</v>
      </c>
      <c r="M130" s="38"/>
      <c r="N130" s="38">
        <f t="shared" si="17"/>
        <v>19.756666666666668</v>
      </c>
      <c r="O130" s="38">
        <f t="shared" si="18"/>
        <v>-19.756666666666668</v>
      </c>
      <c r="P130" s="38"/>
      <c r="Q130" s="38"/>
      <c r="R130" s="38">
        <f t="shared" si="16"/>
        <v>-632.69782351948697</v>
      </c>
      <c r="S130" s="9"/>
    </row>
    <row r="131" spans="1:19" hidden="1" x14ac:dyDescent="0.25">
      <c r="A131" s="5" t="s">
        <v>23</v>
      </c>
      <c r="B131" s="9" t="s">
        <v>31</v>
      </c>
      <c r="C131" s="9" t="s">
        <v>33</v>
      </c>
      <c r="D131" s="22">
        <v>45887</v>
      </c>
      <c r="E131" s="9">
        <v>1</v>
      </c>
      <c r="F131" s="10" t="s">
        <v>58</v>
      </c>
      <c r="G131" s="9" t="s">
        <v>116</v>
      </c>
      <c r="H131" s="9">
        <v>71</v>
      </c>
      <c r="I131" s="9" t="s">
        <v>138</v>
      </c>
      <c r="J131" s="38">
        <f t="shared" si="13"/>
        <v>71</v>
      </c>
      <c r="K131" s="38">
        <f t="shared" si="14"/>
        <v>19.756666666666668</v>
      </c>
      <c r="L131" s="38">
        <f t="shared" si="15"/>
        <v>51.243333333333332</v>
      </c>
      <c r="M131" s="38"/>
      <c r="N131" s="38">
        <f t="shared" si="17"/>
        <v>19.756666666666668</v>
      </c>
      <c r="O131" s="38">
        <f t="shared" si="18"/>
        <v>-19.756666666666668</v>
      </c>
      <c r="P131" s="38"/>
      <c r="Q131" s="38"/>
      <c r="R131" s="38">
        <f t="shared" si="16"/>
        <v>-359.37236375906866</v>
      </c>
      <c r="S131" s="9"/>
    </row>
    <row r="132" spans="1:19" hidden="1" x14ac:dyDescent="0.25">
      <c r="A132" s="5" t="s">
        <v>23</v>
      </c>
      <c r="B132" s="9" t="s">
        <v>31</v>
      </c>
      <c r="C132" s="9" t="s">
        <v>34</v>
      </c>
      <c r="D132" s="22">
        <v>45887</v>
      </c>
      <c r="E132" s="9">
        <v>1</v>
      </c>
      <c r="F132" s="10" t="s">
        <v>59</v>
      </c>
      <c r="G132" s="9" t="s">
        <v>116</v>
      </c>
      <c r="H132" s="9">
        <v>65</v>
      </c>
      <c r="I132" s="9" t="s">
        <v>143</v>
      </c>
      <c r="J132" s="38">
        <f t="shared" ref="J132:J163" si="19">H132</f>
        <v>65</v>
      </c>
      <c r="K132" s="38">
        <f t="shared" ref="K132:K163" si="20">AVERAGE(19.9,19.77,19.6)</f>
        <v>19.756666666666668</v>
      </c>
      <c r="L132" s="38">
        <f t="shared" ref="L132:L163" si="21">J132-K132</f>
        <v>45.243333333333332</v>
      </c>
      <c r="M132" s="38"/>
      <c r="N132" s="38">
        <f t="shared" si="17"/>
        <v>19.756666666666668</v>
      </c>
      <c r="O132" s="38">
        <f t="shared" si="18"/>
        <v>-19.756666666666668</v>
      </c>
      <c r="P132" s="38"/>
      <c r="Q132" s="38"/>
      <c r="R132" s="38">
        <f t="shared" ref="R132:R163" si="22">((L132-O132)/O132)*100</f>
        <v>-329.00286823013329</v>
      </c>
      <c r="S132" s="9"/>
    </row>
    <row r="133" spans="1:19" hidden="1" x14ac:dyDescent="0.25">
      <c r="A133" s="5" t="s">
        <v>23</v>
      </c>
      <c r="B133" s="9" t="s">
        <v>31</v>
      </c>
      <c r="C133" s="9" t="s">
        <v>35</v>
      </c>
      <c r="D133" s="22">
        <v>45887</v>
      </c>
      <c r="E133" s="9">
        <v>1</v>
      </c>
      <c r="F133" s="10" t="s">
        <v>60</v>
      </c>
      <c r="G133" s="9" t="s">
        <v>85</v>
      </c>
      <c r="H133" s="9">
        <v>65</v>
      </c>
      <c r="I133" s="9" t="s">
        <v>144</v>
      </c>
      <c r="J133" s="38">
        <f t="shared" si="19"/>
        <v>65</v>
      </c>
      <c r="K133" s="38">
        <f t="shared" si="20"/>
        <v>19.756666666666668</v>
      </c>
      <c r="L133" s="38">
        <f t="shared" si="21"/>
        <v>45.243333333333332</v>
      </c>
      <c r="M133" s="38"/>
      <c r="N133" s="38">
        <f t="shared" si="17"/>
        <v>19.756666666666668</v>
      </c>
      <c r="O133" s="38">
        <f t="shared" si="18"/>
        <v>-19.756666666666668</v>
      </c>
      <c r="P133" s="38"/>
      <c r="Q133" s="38"/>
      <c r="R133" s="38">
        <f t="shared" si="22"/>
        <v>-329.00286823013329</v>
      </c>
      <c r="S133" s="9"/>
    </row>
    <row r="134" spans="1:19" hidden="1" x14ac:dyDescent="0.25">
      <c r="A134" s="5" t="s">
        <v>23</v>
      </c>
      <c r="B134" s="9" t="s">
        <v>31</v>
      </c>
      <c r="C134" s="9" t="s">
        <v>36</v>
      </c>
      <c r="D134" s="22">
        <v>45887</v>
      </c>
      <c r="E134" s="9">
        <v>1</v>
      </c>
      <c r="F134" s="10" t="s">
        <v>61</v>
      </c>
      <c r="G134" s="9" t="s">
        <v>85</v>
      </c>
      <c r="H134" s="9">
        <v>63</v>
      </c>
      <c r="I134" s="9" t="s">
        <v>145</v>
      </c>
      <c r="J134" s="38">
        <f t="shared" si="19"/>
        <v>63</v>
      </c>
      <c r="K134" s="38">
        <f t="shared" si="20"/>
        <v>19.756666666666668</v>
      </c>
      <c r="L134" s="38">
        <f t="shared" si="21"/>
        <v>43.243333333333332</v>
      </c>
      <c r="M134" s="38"/>
      <c r="N134" s="38">
        <f t="shared" si="17"/>
        <v>19.756666666666668</v>
      </c>
      <c r="O134" s="38">
        <f t="shared" si="18"/>
        <v>-19.756666666666668</v>
      </c>
      <c r="P134" s="38"/>
      <c r="Q134" s="38"/>
      <c r="R134" s="38">
        <f t="shared" si="22"/>
        <v>-318.87970305382146</v>
      </c>
      <c r="S134" s="9"/>
    </row>
    <row r="135" spans="1:19" hidden="1" x14ac:dyDescent="0.25">
      <c r="A135" s="5" t="s">
        <v>23</v>
      </c>
      <c r="B135" s="9" t="s">
        <v>31</v>
      </c>
      <c r="C135" s="9" t="s">
        <v>37</v>
      </c>
      <c r="D135" s="22">
        <v>45887</v>
      </c>
      <c r="E135" s="9">
        <v>1</v>
      </c>
      <c r="F135" s="10" t="s">
        <v>62</v>
      </c>
      <c r="G135" s="9" t="s">
        <v>85</v>
      </c>
      <c r="H135" s="9">
        <v>62</v>
      </c>
      <c r="I135" s="9" t="s">
        <v>146</v>
      </c>
      <c r="J135" s="38">
        <f t="shared" si="19"/>
        <v>62</v>
      </c>
      <c r="K135" s="38">
        <f t="shared" si="20"/>
        <v>19.756666666666668</v>
      </c>
      <c r="L135" s="38">
        <f t="shared" si="21"/>
        <v>42.243333333333332</v>
      </c>
      <c r="M135" s="38"/>
      <c r="N135" s="38">
        <f t="shared" si="17"/>
        <v>19.756666666666668</v>
      </c>
      <c r="O135" s="38">
        <f t="shared" si="18"/>
        <v>-19.756666666666668</v>
      </c>
      <c r="P135" s="38"/>
      <c r="Q135" s="38"/>
      <c r="R135" s="38">
        <f t="shared" si="22"/>
        <v>-313.81812046566557</v>
      </c>
      <c r="S135" s="9"/>
    </row>
    <row r="136" spans="1:19" hidden="1" x14ac:dyDescent="0.25">
      <c r="A136" s="5" t="s">
        <v>23</v>
      </c>
      <c r="B136" s="9" t="s">
        <v>31</v>
      </c>
      <c r="C136" s="9" t="s">
        <v>38</v>
      </c>
      <c r="D136" s="22">
        <v>45887</v>
      </c>
      <c r="E136" s="9">
        <v>1</v>
      </c>
      <c r="F136" s="10" t="s">
        <v>63</v>
      </c>
      <c r="G136" s="9" t="s">
        <v>85</v>
      </c>
      <c r="H136" s="9">
        <v>70</v>
      </c>
      <c r="I136" s="9" t="s">
        <v>147</v>
      </c>
      <c r="J136" s="38">
        <f t="shared" si="19"/>
        <v>70</v>
      </c>
      <c r="K136" s="38">
        <f t="shared" si="20"/>
        <v>19.756666666666668</v>
      </c>
      <c r="L136" s="38">
        <f t="shared" si="21"/>
        <v>50.243333333333332</v>
      </c>
      <c r="M136" s="38"/>
      <c r="N136" s="38">
        <f t="shared" si="17"/>
        <v>19.756666666666668</v>
      </c>
      <c r="O136" s="38">
        <f t="shared" si="18"/>
        <v>-19.756666666666668</v>
      </c>
      <c r="P136" s="38"/>
      <c r="Q136" s="38"/>
      <c r="R136" s="38">
        <f t="shared" si="22"/>
        <v>-354.31078117091272</v>
      </c>
      <c r="S136" s="9"/>
    </row>
    <row r="137" spans="1:19" hidden="1" x14ac:dyDescent="0.25">
      <c r="A137" s="5" t="s">
        <v>23</v>
      </c>
      <c r="B137" s="9" t="s">
        <v>31</v>
      </c>
      <c r="C137" s="9" t="s">
        <v>39</v>
      </c>
      <c r="D137" s="22">
        <v>45887</v>
      </c>
      <c r="E137" s="9">
        <v>1</v>
      </c>
      <c r="F137" s="10" t="s">
        <v>64</v>
      </c>
      <c r="G137" s="9" t="s">
        <v>85</v>
      </c>
      <c r="H137" s="9">
        <v>67</v>
      </c>
      <c r="I137" s="9" t="s">
        <v>148</v>
      </c>
      <c r="J137" s="38">
        <f t="shared" si="19"/>
        <v>67</v>
      </c>
      <c r="K137" s="38">
        <f t="shared" si="20"/>
        <v>19.756666666666668</v>
      </c>
      <c r="L137" s="38">
        <f t="shared" si="21"/>
        <v>47.243333333333332</v>
      </c>
      <c r="M137" s="38"/>
      <c r="N137" s="38">
        <f t="shared" si="17"/>
        <v>19.756666666666668</v>
      </c>
      <c r="O137" s="38">
        <f t="shared" si="18"/>
        <v>-19.756666666666668</v>
      </c>
      <c r="P137" s="38"/>
      <c r="Q137" s="38"/>
      <c r="R137" s="38">
        <f t="shared" si="22"/>
        <v>-339.12603340644506</v>
      </c>
      <c r="S137" s="9"/>
    </row>
    <row r="138" spans="1:19" hidden="1" x14ac:dyDescent="0.25">
      <c r="A138" s="5" t="s">
        <v>23</v>
      </c>
      <c r="B138" s="9" t="s">
        <v>31</v>
      </c>
      <c r="C138" s="9" t="s">
        <v>40</v>
      </c>
      <c r="D138" s="22">
        <v>45887</v>
      </c>
      <c r="E138" s="9">
        <v>1</v>
      </c>
      <c r="F138" s="10" t="s">
        <v>65</v>
      </c>
      <c r="G138" s="9" t="s">
        <v>74</v>
      </c>
      <c r="H138" s="9">
        <v>53</v>
      </c>
      <c r="I138" s="9" t="s">
        <v>149</v>
      </c>
      <c r="J138" s="38">
        <f t="shared" si="19"/>
        <v>53</v>
      </c>
      <c r="K138" s="38">
        <f t="shared" si="20"/>
        <v>19.756666666666668</v>
      </c>
      <c r="L138" s="38">
        <f t="shared" si="21"/>
        <v>33.243333333333332</v>
      </c>
      <c r="M138" s="38"/>
      <c r="N138" s="38">
        <f t="shared" si="17"/>
        <v>19.756666666666668</v>
      </c>
      <c r="O138" s="38">
        <f t="shared" si="18"/>
        <v>-19.756666666666668</v>
      </c>
      <c r="P138" s="38"/>
      <c r="Q138" s="38"/>
      <c r="R138" s="38">
        <f t="shared" si="22"/>
        <v>-268.26387717226254</v>
      </c>
      <c r="S138" s="9"/>
    </row>
    <row r="139" spans="1:19" hidden="1" x14ac:dyDescent="0.25">
      <c r="A139" s="5" t="s">
        <v>23</v>
      </c>
      <c r="B139" s="9" t="s">
        <v>31</v>
      </c>
      <c r="C139" s="9" t="s">
        <v>41</v>
      </c>
      <c r="D139" s="22">
        <v>45887</v>
      </c>
      <c r="E139" s="9">
        <v>1</v>
      </c>
      <c r="F139" s="10" t="s">
        <v>66</v>
      </c>
      <c r="G139" s="9" t="s">
        <v>74</v>
      </c>
      <c r="H139" s="9">
        <v>39</v>
      </c>
      <c r="I139" s="9" t="s">
        <v>150</v>
      </c>
      <c r="J139" s="38">
        <f t="shared" si="19"/>
        <v>39</v>
      </c>
      <c r="K139" s="38">
        <f t="shared" si="20"/>
        <v>19.756666666666668</v>
      </c>
      <c r="L139" s="38">
        <f t="shared" si="21"/>
        <v>19.243333333333332</v>
      </c>
      <c r="M139" s="38"/>
      <c r="N139" s="38">
        <f t="shared" si="17"/>
        <v>19.756666666666668</v>
      </c>
      <c r="O139" s="38">
        <f t="shared" si="18"/>
        <v>-19.756666666666668</v>
      </c>
      <c r="P139" s="38"/>
      <c r="Q139" s="38"/>
      <c r="R139" s="38">
        <f t="shared" si="22"/>
        <v>-197.40172093807996</v>
      </c>
      <c r="S139" s="9"/>
    </row>
    <row r="140" spans="1:19" s="35" customFormat="1" ht="15.75" hidden="1" thickBot="1" x14ac:dyDescent="0.3">
      <c r="A140" s="19" t="s">
        <v>23</v>
      </c>
      <c r="B140" s="11" t="s">
        <v>31</v>
      </c>
      <c r="C140" s="11" t="s">
        <v>42</v>
      </c>
      <c r="D140" s="23">
        <v>45887</v>
      </c>
      <c r="E140" s="11">
        <v>1</v>
      </c>
      <c r="F140" s="14" t="s">
        <v>67</v>
      </c>
      <c r="G140" s="11" t="s">
        <v>74</v>
      </c>
      <c r="H140" s="11">
        <v>69</v>
      </c>
      <c r="I140" s="11" t="s">
        <v>151</v>
      </c>
      <c r="J140" s="41">
        <f t="shared" si="19"/>
        <v>69</v>
      </c>
      <c r="K140" s="41">
        <f t="shared" si="20"/>
        <v>19.756666666666668</v>
      </c>
      <c r="L140" s="41">
        <f t="shared" si="21"/>
        <v>49.243333333333332</v>
      </c>
      <c r="M140" s="41"/>
      <c r="N140" s="41">
        <f t="shared" si="17"/>
        <v>19.756666666666668</v>
      </c>
      <c r="O140" s="41">
        <f t="shared" si="18"/>
        <v>-19.756666666666668</v>
      </c>
      <c r="P140" s="41"/>
      <c r="Q140" s="41"/>
      <c r="R140" s="41">
        <f t="shared" si="22"/>
        <v>-349.24919858275689</v>
      </c>
      <c r="S140" s="11"/>
    </row>
    <row r="141" spans="1:19" hidden="1" x14ac:dyDescent="0.25">
      <c r="A141" s="20" t="s">
        <v>23</v>
      </c>
      <c r="B141" s="12" t="s">
        <v>31</v>
      </c>
      <c r="C141" s="12" t="s">
        <v>43</v>
      </c>
      <c r="D141" s="24">
        <v>45887</v>
      </c>
      <c r="E141" s="12">
        <v>4</v>
      </c>
      <c r="F141" s="13" t="s">
        <v>68</v>
      </c>
      <c r="G141" s="12" t="s">
        <v>74</v>
      </c>
      <c r="H141" s="12">
        <v>106</v>
      </c>
      <c r="I141" s="12" t="s">
        <v>152</v>
      </c>
      <c r="J141" s="40">
        <f t="shared" si="19"/>
        <v>106</v>
      </c>
      <c r="K141" s="40">
        <f t="shared" si="20"/>
        <v>19.756666666666668</v>
      </c>
      <c r="L141" s="40">
        <f t="shared" si="21"/>
        <v>86.243333333333339</v>
      </c>
      <c r="M141" s="40"/>
      <c r="N141" s="40">
        <f t="shared" si="17"/>
        <v>19.756666666666668</v>
      </c>
      <c r="O141" s="40">
        <f t="shared" si="18"/>
        <v>-19.756666666666668</v>
      </c>
      <c r="P141" s="40"/>
      <c r="Q141" s="40"/>
      <c r="R141" s="40">
        <f t="shared" si="22"/>
        <v>-536.52775434452508</v>
      </c>
      <c r="S141" s="12"/>
    </row>
    <row r="142" spans="1:19" hidden="1" x14ac:dyDescent="0.25">
      <c r="A142" s="5" t="s">
        <v>23</v>
      </c>
      <c r="B142" s="9" t="s">
        <v>29</v>
      </c>
      <c r="C142" s="9" t="s">
        <v>392</v>
      </c>
      <c r="D142" s="22">
        <v>45888</v>
      </c>
      <c r="E142" s="9">
        <v>2</v>
      </c>
      <c r="F142" s="10" t="s">
        <v>48</v>
      </c>
      <c r="G142" s="9" t="s">
        <v>74</v>
      </c>
      <c r="H142" s="9">
        <v>135</v>
      </c>
      <c r="I142" s="9" t="s">
        <v>106</v>
      </c>
      <c r="J142" s="38">
        <f t="shared" si="19"/>
        <v>135</v>
      </c>
      <c r="K142" s="38">
        <f t="shared" si="20"/>
        <v>19.756666666666668</v>
      </c>
      <c r="L142" s="38">
        <f t="shared" si="21"/>
        <v>115.24333333333334</v>
      </c>
      <c r="M142" s="38"/>
      <c r="N142" s="38">
        <f t="shared" si="17"/>
        <v>19.756666666666668</v>
      </c>
      <c r="O142" s="38">
        <f t="shared" si="18"/>
        <v>-19.756666666666668</v>
      </c>
      <c r="P142" s="38"/>
      <c r="Q142" s="38"/>
      <c r="R142" s="38">
        <f t="shared" si="22"/>
        <v>-683.31364940104606</v>
      </c>
      <c r="S142" s="9"/>
    </row>
    <row r="143" spans="1:19" hidden="1" x14ac:dyDescent="0.25">
      <c r="A143" s="5" t="s">
        <v>23</v>
      </c>
      <c r="B143" s="9" t="s">
        <v>29</v>
      </c>
      <c r="C143" s="9" t="s">
        <v>393</v>
      </c>
      <c r="D143" s="22">
        <v>45888</v>
      </c>
      <c r="E143" s="9">
        <v>2</v>
      </c>
      <c r="F143" s="10" t="s">
        <v>49</v>
      </c>
      <c r="G143" s="9" t="s">
        <v>74</v>
      </c>
      <c r="H143" s="9">
        <v>122</v>
      </c>
      <c r="I143" s="9" t="s">
        <v>106</v>
      </c>
      <c r="J143" s="38">
        <f t="shared" si="19"/>
        <v>122</v>
      </c>
      <c r="K143" s="38">
        <f t="shared" si="20"/>
        <v>19.756666666666668</v>
      </c>
      <c r="L143" s="38">
        <f t="shared" si="21"/>
        <v>102.24333333333334</v>
      </c>
      <c r="M143" s="38"/>
      <c r="N143" s="38">
        <f t="shared" si="17"/>
        <v>19.756666666666668</v>
      </c>
      <c r="O143" s="38">
        <f t="shared" si="18"/>
        <v>-19.756666666666668</v>
      </c>
      <c r="P143" s="38"/>
      <c r="Q143" s="38"/>
      <c r="R143" s="38">
        <f t="shared" si="22"/>
        <v>-617.51307575501937</v>
      </c>
      <c r="S143" s="9"/>
    </row>
    <row r="144" spans="1:19" hidden="1" x14ac:dyDescent="0.25">
      <c r="A144" s="5" t="s">
        <v>23</v>
      </c>
      <c r="B144" s="9" t="s">
        <v>29</v>
      </c>
      <c r="C144" s="9" t="s">
        <v>394</v>
      </c>
      <c r="D144" s="22">
        <v>45888</v>
      </c>
      <c r="E144" s="9">
        <v>2</v>
      </c>
      <c r="F144" s="10" t="s">
        <v>50</v>
      </c>
      <c r="G144" s="9" t="s">
        <v>74</v>
      </c>
      <c r="H144" s="9">
        <v>154</v>
      </c>
      <c r="I144" s="9" t="s">
        <v>107</v>
      </c>
      <c r="J144" s="38">
        <f t="shared" si="19"/>
        <v>154</v>
      </c>
      <c r="K144" s="38">
        <f t="shared" si="20"/>
        <v>19.756666666666668</v>
      </c>
      <c r="L144" s="38">
        <f t="shared" si="21"/>
        <v>134.24333333333334</v>
      </c>
      <c r="M144" s="38"/>
      <c r="N144" s="38">
        <f t="shared" si="17"/>
        <v>19.756666666666668</v>
      </c>
      <c r="O144" s="38">
        <f t="shared" si="18"/>
        <v>-19.756666666666668</v>
      </c>
      <c r="P144" s="38"/>
      <c r="Q144" s="38"/>
      <c r="R144" s="38">
        <f t="shared" si="22"/>
        <v>-779.48371857600807</v>
      </c>
      <c r="S144" s="9"/>
    </row>
    <row r="145" spans="1:19" hidden="1" x14ac:dyDescent="0.25">
      <c r="A145" s="5" t="s">
        <v>23</v>
      </c>
      <c r="B145" s="9" t="s">
        <v>29</v>
      </c>
      <c r="C145" s="9" t="s">
        <v>395</v>
      </c>
      <c r="D145" s="22">
        <v>45888</v>
      </c>
      <c r="E145" s="9">
        <v>2</v>
      </c>
      <c r="F145" s="10" t="s">
        <v>51</v>
      </c>
      <c r="G145" s="9" t="s">
        <v>74</v>
      </c>
      <c r="H145" s="9">
        <v>118</v>
      </c>
      <c r="I145" s="9" t="s">
        <v>107</v>
      </c>
      <c r="J145" s="38">
        <f t="shared" si="19"/>
        <v>118</v>
      </c>
      <c r="K145" s="38">
        <f t="shared" si="20"/>
        <v>19.756666666666668</v>
      </c>
      <c r="L145" s="38">
        <f t="shared" si="21"/>
        <v>98.243333333333339</v>
      </c>
      <c r="M145" s="38"/>
      <c r="N145" s="38">
        <f t="shared" si="17"/>
        <v>19.756666666666668</v>
      </c>
      <c r="O145" s="38">
        <f t="shared" si="18"/>
        <v>-19.756666666666668</v>
      </c>
      <c r="P145" s="38"/>
      <c r="Q145" s="38"/>
      <c r="R145" s="38">
        <f t="shared" si="22"/>
        <v>-597.26674540239571</v>
      </c>
      <c r="S145" s="9"/>
    </row>
    <row r="146" spans="1:19" hidden="1" x14ac:dyDescent="0.25">
      <c r="A146" s="5" t="s">
        <v>23</v>
      </c>
      <c r="B146" s="9" t="s">
        <v>29</v>
      </c>
      <c r="C146" s="9" t="s">
        <v>396</v>
      </c>
      <c r="D146" s="22">
        <v>45888</v>
      </c>
      <c r="E146" s="9">
        <v>2</v>
      </c>
      <c r="F146" s="10" t="s">
        <v>52</v>
      </c>
      <c r="G146" s="9" t="s">
        <v>74</v>
      </c>
      <c r="H146" s="9">
        <v>115</v>
      </c>
      <c r="I146" s="9" t="s">
        <v>108</v>
      </c>
      <c r="J146" s="38">
        <f t="shared" si="19"/>
        <v>115</v>
      </c>
      <c r="K146" s="38">
        <f t="shared" si="20"/>
        <v>19.756666666666668</v>
      </c>
      <c r="L146" s="38">
        <f t="shared" si="21"/>
        <v>95.243333333333339</v>
      </c>
      <c r="M146" s="38"/>
      <c r="N146" s="38">
        <f t="shared" si="17"/>
        <v>19.756666666666668</v>
      </c>
      <c r="O146" s="38">
        <f t="shared" si="18"/>
        <v>-19.756666666666668</v>
      </c>
      <c r="P146" s="38"/>
      <c r="Q146" s="38"/>
      <c r="R146" s="38">
        <f t="shared" si="22"/>
        <v>-582.08199763792811</v>
      </c>
      <c r="S146" s="9"/>
    </row>
    <row r="147" spans="1:19" hidden="1" x14ac:dyDescent="0.25">
      <c r="A147" s="5" t="s">
        <v>23</v>
      </c>
      <c r="B147" s="9" t="s">
        <v>29</v>
      </c>
      <c r="C147" s="9" t="s">
        <v>397</v>
      </c>
      <c r="D147" s="22">
        <v>45888</v>
      </c>
      <c r="E147" s="9">
        <v>2</v>
      </c>
      <c r="F147" s="10" t="s">
        <v>53</v>
      </c>
      <c r="G147" s="9" t="s">
        <v>74</v>
      </c>
      <c r="H147" s="9">
        <v>110</v>
      </c>
      <c r="I147" s="9" t="s">
        <v>99</v>
      </c>
      <c r="J147" s="38">
        <f t="shared" si="19"/>
        <v>110</v>
      </c>
      <c r="K147" s="38">
        <f t="shared" si="20"/>
        <v>19.756666666666668</v>
      </c>
      <c r="L147" s="38">
        <f t="shared" si="21"/>
        <v>90.243333333333339</v>
      </c>
      <c r="M147" s="38"/>
      <c r="N147" s="38">
        <f t="shared" si="17"/>
        <v>19.756666666666668</v>
      </c>
      <c r="O147" s="38">
        <f t="shared" si="18"/>
        <v>-19.756666666666668</v>
      </c>
      <c r="P147" s="38"/>
      <c r="Q147" s="38"/>
      <c r="R147" s="38">
        <f t="shared" si="22"/>
        <v>-556.77408469714862</v>
      </c>
      <c r="S147" s="9"/>
    </row>
    <row r="148" spans="1:19" hidden="1" x14ac:dyDescent="0.25">
      <c r="A148" s="5" t="s">
        <v>23</v>
      </c>
      <c r="B148" s="9" t="s">
        <v>29</v>
      </c>
      <c r="C148" s="9" t="s">
        <v>398</v>
      </c>
      <c r="D148" s="22">
        <v>45888</v>
      </c>
      <c r="E148" s="9">
        <v>2</v>
      </c>
      <c r="F148" s="10" t="s">
        <v>54</v>
      </c>
      <c r="G148" s="9" t="s">
        <v>74</v>
      </c>
      <c r="H148" s="9">
        <v>116</v>
      </c>
      <c r="I148" s="9" t="s">
        <v>99</v>
      </c>
      <c r="J148" s="38">
        <f t="shared" si="19"/>
        <v>116</v>
      </c>
      <c r="K148" s="38">
        <f t="shared" si="20"/>
        <v>19.756666666666668</v>
      </c>
      <c r="L148" s="38">
        <f t="shared" si="21"/>
        <v>96.243333333333339</v>
      </c>
      <c r="M148" s="38"/>
      <c r="N148" s="38">
        <f t="shared" si="17"/>
        <v>19.756666666666668</v>
      </c>
      <c r="O148" s="38">
        <f t="shared" si="18"/>
        <v>-19.756666666666668</v>
      </c>
      <c r="P148" s="38"/>
      <c r="Q148" s="38"/>
      <c r="R148" s="38">
        <f t="shared" si="22"/>
        <v>-587.14358022608394</v>
      </c>
      <c r="S148" s="9"/>
    </row>
    <row r="149" spans="1:19" hidden="1" x14ac:dyDescent="0.25">
      <c r="A149" s="5" t="s">
        <v>23</v>
      </c>
      <c r="B149" s="9" t="s">
        <v>29</v>
      </c>
      <c r="C149" s="9" t="s">
        <v>399</v>
      </c>
      <c r="D149" s="22">
        <v>45888</v>
      </c>
      <c r="E149" s="9">
        <v>2</v>
      </c>
      <c r="F149" s="10" t="s">
        <v>55</v>
      </c>
      <c r="G149" s="9" t="s">
        <v>71</v>
      </c>
      <c r="H149" s="9">
        <v>97</v>
      </c>
      <c r="I149" s="9" t="s">
        <v>99</v>
      </c>
      <c r="J149" s="38">
        <f t="shared" si="19"/>
        <v>97</v>
      </c>
      <c r="K149" s="38">
        <f t="shared" si="20"/>
        <v>19.756666666666668</v>
      </c>
      <c r="L149" s="38">
        <f t="shared" si="21"/>
        <v>77.243333333333339</v>
      </c>
      <c r="M149" s="38"/>
      <c r="N149" s="38">
        <f t="shared" si="17"/>
        <v>19.756666666666668</v>
      </c>
      <c r="O149" s="38">
        <f t="shared" si="18"/>
        <v>-19.756666666666668</v>
      </c>
      <c r="P149" s="38"/>
      <c r="Q149" s="38"/>
      <c r="R149" s="38">
        <f t="shared" si="22"/>
        <v>-490.97351105112193</v>
      </c>
      <c r="S149" s="9"/>
    </row>
    <row r="150" spans="1:19" hidden="1" x14ac:dyDescent="0.25">
      <c r="A150" s="5" t="s">
        <v>23</v>
      </c>
      <c r="B150" s="9" t="s">
        <v>29</v>
      </c>
      <c r="C150" s="9" t="s">
        <v>400</v>
      </c>
      <c r="D150" s="22">
        <v>45888</v>
      </c>
      <c r="E150" s="9">
        <v>2</v>
      </c>
      <c r="F150" s="10" t="s">
        <v>56</v>
      </c>
      <c r="G150" s="9" t="s">
        <v>71</v>
      </c>
      <c r="H150" s="9">
        <v>85</v>
      </c>
      <c r="I150" s="9" t="s">
        <v>99</v>
      </c>
      <c r="J150" s="38">
        <f t="shared" si="19"/>
        <v>85</v>
      </c>
      <c r="K150" s="38">
        <f t="shared" si="20"/>
        <v>19.756666666666668</v>
      </c>
      <c r="L150" s="38">
        <f t="shared" si="21"/>
        <v>65.243333333333339</v>
      </c>
      <c r="M150" s="38"/>
      <c r="N150" s="38">
        <f t="shared" si="17"/>
        <v>19.756666666666668</v>
      </c>
      <c r="O150" s="38">
        <f t="shared" si="18"/>
        <v>-19.756666666666668</v>
      </c>
      <c r="P150" s="38"/>
      <c r="Q150" s="38"/>
      <c r="R150" s="38">
        <f t="shared" si="22"/>
        <v>-430.23451999325124</v>
      </c>
      <c r="S150" s="9"/>
    </row>
    <row r="151" spans="1:19" hidden="1" x14ac:dyDescent="0.25">
      <c r="A151" s="5" t="s">
        <v>23</v>
      </c>
      <c r="B151" s="9" t="s">
        <v>29</v>
      </c>
      <c r="C151" s="9" t="s">
        <v>32</v>
      </c>
      <c r="D151" s="22">
        <v>45888</v>
      </c>
      <c r="E151" s="9">
        <v>2</v>
      </c>
      <c r="F151" s="10" t="s">
        <v>57</v>
      </c>
      <c r="G151" s="9" t="s">
        <v>71</v>
      </c>
      <c r="H151" s="9">
        <v>99</v>
      </c>
      <c r="I151" s="9" t="s">
        <v>109</v>
      </c>
      <c r="J151" s="38">
        <f t="shared" si="19"/>
        <v>99</v>
      </c>
      <c r="K151" s="38">
        <f t="shared" si="20"/>
        <v>19.756666666666668</v>
      </c>
      <c r="L151" s="38">
        <f t="shared" si="21"/>
        <v>79.243333333333339</v>
      </c>
      <c r="M151" s="38"/>
      <c r="N151" s="38">
        <f t="shared" si="17"/>
        <v>19.756666666666668</v>
      </c>
      <c r="O151" s="38">
        <f t="shared" si="18"/>
        <v>-19.756666666666668</v>
      </c>
      <c r="P151" s="38"/>
      <c r="Q151" s="38"/>
      <c r="R151" s="38">
        <f t="shared" si="22"/>
        <v>-501.09667622743376</v>
      </c>
      <c r="S151" s="9"/>
    </row>
    <row r="152" spans="1:19" hidden="1" x14ac:dyDescent="0.25">
      <c r="A152" s="5" t="s">
        <v>23</v>
      </c>
      <c r="B152" s="9" t="s">
        <v>29</v>
      </c>
      <c r="C152" s="9" t="s">
        <v>33</v>
      </c>
      <c r="D152" s="22">
        <v>45888</v>
      </c>
      <c r="E152" s="9">
        <v>1</v>
      </c>
      <c r="F152" s="10" t="s">
        <v>58</v>
      </c>
      <c r="G152" s="9" t="s">
        <v>71</v>
      </c>
      <c r="H152" s="9">
        <v>52</v>
      </c>
      <c r="I152" s="9" t="s">
        <v>99</v>
      </c>
      <c r="J152" s="38">
        <f t="shared" si="19"/>
        <v>52</v>
      </c>
      <c r="K152" s="38">
        <f t="shared" si="20"/>
        <v>19.756666666666668</v>
      </c>
      <c r="L152" s="38">
        <f t="shared" si="21"/>
        <v>32.243333333333332</v>
      </c>
      <c r="M152" s="38"/>
      <c r="N152" s="38">
        <f t="shared" si="17"/>
        <v>19.756666666666668</v>
      </c>
      <c r="O152" s="38">
        <f t="shared" si="18"/>
        <v>-19.756666666666668</v>
      </c>
      <c r="P152" s="38"/>
      <c r="Q152" s="38"/>
      <c r="R152" s="38">
        <f t="shared" si="22"/>
        <v>-263.2022945841066</v>
      </c>
      <c r="S152" s="9"/>
    </row>
    <row r="153" spans="1:19" hidden="1" x14ac:dyDescent="0.25">
      <c r="A153" s="5" t="s">
        <v>23</v>
      </c>
      <c r="B153" s="9" t="s">
        <v>29</v>
      </c>
      <c r="C153" s="9" t="s">
        <v>34</v>
      </c>
      <c r="D153" s="22">
        <v>45888</v>
      </c>
      <c r="E153" s="9">
        <v>1</v>
      </c>
      <c r="F153" s="10" t="s">
        <v>59</v>
      </c>
      <c r="G153" s="9" t="s">
        <v>71</v>
      </c>
      <c r="H153" s="9">
        <v>57</v>
      </c>
      <c r="I153" s="9" t="s">
        <v>110</v>
      </c>
      <c r="J153" s="38">
        <f t="shared" si="19"/>
        <v>57</v>
      </c>
      <c r="K153" s="38">
        <f t="shared" si="20"/>
        <v>19.756666666666668</v>
      </c>
      <c r="L153" s="38">
        <f t="shared" si="21"/>
        <v>37.243333333333332</v>
      </c>
      <c r="M153" s="38"/>
      <c r="N153" s="38">
        <f t="shared" si="17"/>
        <v>19.756666666666668</v>
      </c>
      <c r="O153" s="38">
        <f t="shared" si="18"/>
        <v>-19.756666666666668</v>
      </c>
      <c r="P153" s="38"/>
      <c r="Q153" s="38"/>
      <c r="R153" s="38">
        <f t="shared" si="22"/>
        <v>-288.51020752488614</v>
      </c>
      <c r="S153" s="9"/>
    </row>
    <row r="154" spans="1:19" hidden="1" x14ac:dyDescent="0.25">
      <c r="A154" s="5" t="s">
        <v>23</v>
      </c>
      <c r="B154" s="9" t="s">
        <v>29</v>
      </c>
      <c r="C154" s="9" t="s">
        <v>35</v>
      </c>
      <c r="D154" s="22">
        <v>45888</v>
      </c>
      <c r="E154" s="9">
        <v>1</v>
      </c>
      <c r="F154" s="10" t="s">
        <v>60</v>
      </c>
      <c r="G154" s="9" t="s">
        <v>71</v>
      </c>
      <c r="H154" s="9">
        <v>50</v>
      </c>
      <c r="I154" s="9" t="s">
        <v>110</v>
      </c>
      <c r="J154" s="38">
        <f t="shared" si="19"/>
        <v>50</v>
      </c>
      <c r="K154" s="38">
        <f t="shared" si="20"/>
        <v>19.756666666666668</v>
      </c>
      <c r="L154" s="38">
        <f t="shared" si="21"/>
        <v>30.243333333333332</v>
      </c>
      <c r="M154" s="38"/>
      <c r="N154" s="38">
        <f t="shared" si="17"/>
        <v>19.756666666666668</v>
      </c>
      <c r="O154" s="38">
        <f t="shared" si="18"/>
        <v>-19.756666666666668</v>
      </c>
      <c r="P154" s="38"/>
      <c r="Q154" s="38"/>
      <c r="R154" s="38">
        <f t="shared" si="22"/>
        <v>-253.07912940779485</v>
      </c>
      <c r="S154" s="9"/>
    </row>
    <row r="155" spans="1:19" ht="30" hidden="1" x14ac:dyDescent="0.25">
      <c r="A155" s="5" t="s">
        <v>23</v>
      </c>
      <c r="B155" s="9" t="s">
        <v>29</v>
      </c>
      <c r="C155" s="9" t="s">
        <v>36</v>
      </c>
      <c r="D155" s="22">
        <v>45888</v>
      </c>
      <c r="E155" s="9">
        <v>1</v>
      </c>
      <c r="F155" s="10" t="s">
        <v>61</v>
      </c>
      <c r="G155" s="9" t="s">
        <v>71</v>
      </c>
      <c r="H155" s="9">
        <v>71</v>
      </c>
      <c r="I155" s="9" t="s">
        <v>111</v>
      </c>
      <c r="J155" s="38">
        <f t="shared" si="19"/>
        <v>71</v>
      </c>
      <c r="K155" s="38">
        <f t="shared" si="20"/>
        <v>19.756666666666668</v>
      </c>
      <c r="L155" s="38">
        <f t="shared" si="21"/>
        <v>51.243333333333332</v>
      </c>
      <c r="M155" s="38"/>
      <c r="N155" s="38">
        <f t="shared" si="17"/>
        <v>19.756666666666668</v>
      </c>
      <c r="O155" s="38">
        <f t="shared" si="18"/>
        <v>-19.756666666666668</v>
      </c>
      <c r="P155" s="38"/>
      <c r="Q155" s="38"/>
      <c r="R155" s="38">
        <f t="shared" si="22"/>
        <v>-359.37236375906866</v>
      </c>
      <c r="S155" s="9"/>
    </row>
    <row r="156" spans="1:19" ht="30" hidden="1" x14ac:dyDescent="0.25">
      <c r="A156" s="5" t="s">
        <v>23</v>
      </c>
      <c r="B156" s="9" t="s">
        <v>29</v>
      </c>
      <c r="C156" s="9" t="s">
        <v>37</v>
      </c>
      <c r="D156" s="22">
        <v>45888</v>
      </c>
      <c r="E156" s="9">
        <v>1</v>
      </c>
      <c r="F156" s="10" t="s">
        <v>62</v>
      </c>
      <c r="G156" s="9" t="s">
        <v>71</v>
      </c>
      <c r="H156" s="9">
        <v>47</v>
      </c>
      <c r="I156" s="9" t="s">
        <v>111</v>
      </c>
      <c r="J156" s="38">
        <f t="shared" si="19"/>
        <v>47</v>
      </c>
      <c r="K156" s="38">
        <f t="shared" si="20"/>
        <v>19.756666666666668</v>
      </c>
      <c r="L156" s="38">
        <f t="shared" si="21"/>
        <v>27.243333333333332</v>
      </c>
      <c r="M156" s="38"/>
      <c r="N156" s="38">
        <f t="shared" si="17"/>
        <v>19.756666666666668</v>
      </c>
      <c r="O156" s="38">
        <f t="shared" si="18"/>
        <v>-19.756666666666668</v>
      </c>
      <c r="P156" s="38"/>
      <c r="Q156" s="38"/>
      <c r="R156" s="38">
        <f t="shared" si="22"/>
        <v>-237.89438164332714</v>
      </c>
      <c r="S156" s="9"/>
    </row>
    <row r="157" spans="1:19" ht="30" hidden="1" x14ac:dyDescent="0.25">
      <c r="A157" s="5" t="s">
        <v>23</v>
      </c>
      <c r="B157" s="9" t="s">
        <v>29</v>
      </c>
      <c r="C157" s="9" t="s">
        <v>38</v>
      </c>
      <c r="D157" s="22">
        <v>45888</v>
      </c>
      <c r="E157" s="9">
        <v>1</v>
      </c>
      <c r="F157" s="10" t="s">
        <v>63</v>
      </c>
      <c r="G157" s="9" t="s">
        <v>71</v>
      </c>
      <c r="H157" s="9">
        <v>41</v>
      </c>
      <c r="I157" s="9" t="s">
        <v>112</v>
      </c>
      <c r="J157" s="38">
        <f t="shared" si="19"/>
        <v>41</v>
      </c>
      <c r="K157" s="38">
        <f t="shared" si="20"/>
        <v>19.756666666666668</v>
      </c>
      <c r="L157" s="38">
        <f t="shared" si="21"/>
        <v>21.243333333333332</v>
      </c>
      <c r="M157" s="38"/>
      <c r="N157" s="38">
        <f t="shared" si="17"/>
        <v>19.756666666666668</v>
      </c>
      <c r="O157" s="38">
        <f t="shared" si="18"/>
        <v>-19.756666666666668</v>
      </c>
      <c r="P157" s="38"/>
      <c r="Q157" s="38"/>
      <c r="R157" s="38">
        <f t="shared" si="22"/>
        <v>-207.52488611439176</v>
      </c>
      <c r="S157" s="9"/>
    </row>
    <row r="158" spans="1:19" ht="30" hidden="1" x14ac:dyDescent="0.25">
      <c r="A158" s="5" t="s">
        <v>23</v>
      </c>
      <c r="B158" s="9" t="s">
        <v>29</v>
      </c>
      <c r="C158" s="9" t="s">
        <v>39</v>
      </c>
      <c r="D158" s="22">
        <v>45888</v>
      </c>
      <c r="E158" s="9">
        <v>1</v>
      </c>
      <c r="F158" s="10" t="s">
        <v>64</v>
      </c>
      <c r="G158" s="9" t="s">
        <v>71</v>
      </c>
      <c r="H158" s="9">
        <v>41</v>
      </c>
      <c r="I158" s="9" t="s">
        <v>112</v>
      </c>
      <c r="J158" s="38">
        <f t="shared" si="19"/>
        <v>41</v>
      </c>
      <c r="K158" s="38">
        <f t="shared" si="20"/>
        <v>19.756666666666668</v>
      </c>
      <c r="L158" s="38">
        <f t="shared" si="21"/>
        <v>21.243333333333332</v>
      </c>
      <c r="M158" s="38"/>
      <c r="N158" s="38">
        <f t="shared" si="17"/>
        <v>19.756666666666668</v>
      </c>
      <c r="O158" s="38">
        <f t="shared" si="18"/>
        <v>-19.756666666666668</v>
      </c>
      <c r="P158" s="38"/>
      <c r="Q158" s="38"/>
      <c r="R158" s="38">
        <f t="shared" si="22"/>
        <v>-207.52488611439176</v>
      </c>
      <c r="S158" s="9"/>
    </row>
    <row r="159" spans="1:19" hidden="1" x14ac:dyDescent="0.25">
      <c r="A159" s="5" t="s">
        <v>23</v>
      </c>
      <c r="B159" s="9" t="s">
        <v>29</v>
      </c>
      <c r="C159" s="9" t="s">
        <v>40</v>
      </c>
      <c r="D159" s="22">
        <v>45888</v>
      </c>
      <c r="E159" s="9">
        <v>1</v>
      </c>
      <c r="F159" s="10" t="s">
        <v>65</v>
      </c>
      <c r="G159" s="9" t="s">
        <v>71</v>
      </c>
      <c r="H159" s="9">
        <v>47</v>
      </c>
      <c r="I159" s="9" t="s">
        <v>113</v>
      </c>
      <c r="J159" s="38">
        <f t="shared" si="19"/>
        <v>47</v>
      </c>
      <c r="K159" s="38">
        <f t="shared" si="20"/>
        <v>19.756666666666668</v>
      </c>
      <c r="L159" s="38">
        <f t="shared" si="21"/>
        <v>27.243333333333332</v>
      </c>
      <c r="M159" s="38"/>
      <c r="N159" s="38">
        <f t="shared" si="17"/>
        <v>19.756666666666668</v>
      </c>
      <c r="O159" s="38">
        <f t="shared" si="18"/>
        <v>-19.756666666666668</v>
      </c>
      <c r="P159" s="38"/>
      <c r="Q159" s="38"/>
      <c r="R159" s="38">
        <f t="shared" si="22"/>
        <v>-237.89438164332714</v>
      </c>
      <c r="S159" s="9"/>
    </row>
    <row r="160" spans="1:19" hidden="1" x14ac:dyDescent="0.25">
      <c r="A160" s="5" t="s">
        <v>23</v>
      </c>
      <c r="B160" s="9" t="s">
        <v>29</v>
      </c>
      <c r="C160" s="9" t="s">
        <v>41</v>
      </c>
      <c r="D160" s="22">
        <v>45888</v>
      </c>
      <c r="E160" s="9">
        <v>1</v>
      </c>
      <c r="F160" s="10" t="s">
        <v>66</v>
      </c>
      <c r="G160" s="9" t="s">
        <v>74</v>
      </c>
      <c r="H160" s="9">
        <v>54</v>
      </c>
      <c r="I160" s="9" t="s">
        <v>114</v>
      </c>
      <c r="J160" s="38">
        <f t="shared" si="19"/>
        <v>54</v>
      </c>
      <c r="K160" s="38">
        <f t="shared" si="20"/>
        <v>19.756666666666668</v>
      </c>
      <c r="L160" s="38">
        <f t="shared" si="21"/>
        <v>34.243333333333332</v>
      </c>
      <c r="M160" s="38"/>
      <c r="N160" s="38">
        <f t="shared" si="17"/>
        <v>19.756666666666668</v>
      </c>
      <c r="O160" s="38">
        <f t="shared" si="18"/>
        <v>-19.756666666666668</v>
      </c>
      <c r="P160" s="38"/>
      <c r="Q160" s="38"/>
      <c r="R160" s="38">
        <f t="shared" si="22"/>
        <v>-273.32545976041843</v>
      </c>
      <c r="S160" s="9"/>
    </row>
    <row r="161" spans="1:19" hidden="1" x14ac:dyDescent="0.25">
      <c r="A161" s="5" t="s">
        <v>23</v>
      </c>
      <c r="B161" s="9" t="s">
        <v>29</v>
      </c>
      <c r="C161" s="9" t="s">
        <v>42</v>
      </c>
      <c r="D161" s="22">
        <v>45888</v>
      </c>
      <c r="E161" s="9">
        <v>1</v>
      </c>
      <c r="F161" s="10" t="s">
        <v>67</v>
      </c>
      <c r="G161" s="9" t="s">
        <v>74</v>
      </c>
      <c r="H161" s="9">
        <v>38</v>
      </c>
      <c r="I161" s="9" t="s">
        <v>114</v>
      </c>
      <c r="J161" s="38">
        <f t="shared" si="19"/>
        <v>38</v>
      </c>
      <c r="K161" s="38">
        <f t="shared" si="20"/>
        <v>19.756666666666668</v>
      </c>
      <c r="L161" s="38">
        <f t="shared" si="21"/>
        <v>18.243333333333332</v>
      </c>
      <c r="M161" s="38"/>
      <c r="N161" s="38">
        <f t="shared" si="17"/>
        <v>19.756666666666668</v>
      </c>
      <c r="O161" s="38">
        <f t="shared" si="18"/>
        <v>-19.756666666666668</v>
      </c>
      <c r="P161" s="38"/>
      <c r="Q161" s="38"/>
      <c r="R161" s="38">
        <f t="shared" si="22"/>
        <v>-192.34013834992408</v>
      </c>
      <c r="S161" s="9"/>
    </row>
    <row r="162" spans="1:19" s="35" customFormat="1" ht="15.75" hidden="1" thickBot="1" x14ac:dyDescent="0.3">
      <c r="A162" s="19" t="s">
        <v>23</v>
      </c>
      <c r="B162" s="11" t="s">
        <v>29</v>
      </c>
      <c r="C162" s="11" t="s">
        <v>43</v>
      </c>
      <c r="D162" s="23">
        <v>45888</v>
      </c>
      <c r="E162" s="11">
        <v>6</v>
      </c>
      <c r="F162" s="14" t="s">
        <v>2</v>
      </c>
      <c r="G162" s="11" t="s">
        <v>71</v>
      </c>
      <c r="H162" s="11">
        <v>148</v>
      </c>
      <c r="I162" s="11" t="s">
        <v>115</v>
      </c>
      <c r="J162" s="41">
        <f t="shared" si="19"/>
        <v>148</v>
      </c>
      <c r="K162" s="41">
        <f t="shared" si="20"/>
        <v>19.756666666666668</v>
      </c>
      <c r="L162" s="41">
        <f t="shared" si="21"/>
        <v>128.24333333333334</v>
      </c>
      <c r="M162" s="41"/>
      <c r="N162" s="41">
        <f t="shared" si="17"/>
        <v>19.756666666666668</v>
      </c>
      <c r="O162" s="41">
        <f t="shared" si="18"/>
        <v>-19.756666666666668</v>
      </c>
      <c r="P162" s="41"/>
      <c r="Q162" s="41"/>
      <c r="R162" s="41">
        <f t="shared" si="22"/>
        <v>-749.11422304707264</v>
      </c>
      <c r="S162" s="11"/>
    </row>
    <row r="163" spans="1:19" hidden="1" x14ac:dyDescent="0.25">
      <c r="A163" s="20" t="s">
        <v>23</v>
      </c>
      <c r="B163" s="12" t="s">
        <v>28</v>
      </c>
      <c r="C163" s="12" t="s">
        <v>392</v>
      </c>
      <c r="D163" s="24">
        <v>45888</v>
      </c>
      <c r="E163" s="12">
        <v>2</v>
      </c>
      <c r="F163" s="13" t="s">
        <v>48</v>
      </c>
      <c r="G163" s="12" t="s">
        <v>74</v>
      </c>
      <c r="H163" s="12">
        <v>164</v>
      </c>
      <c r="I163" s="12" t="s">
        <v>93</v>
      </c>
      <c r="J163" s="40">
        <f t="shared" si="19"/>
        <v>164</v>
      </c>
      <c r="K163" s="40">
        <f t="shared" si="20"/>
        <v>19.756666666666668</v>
      </c>
      <c r="L163" s="40">
        <f t="shared" si="21"/>
        <v>144.24333333333334</v>
      </c>
      <c r="M163" s="40"/>
      <c r="N163" s="40">
        <f t="shared" si="17"/>
        <v>19.756666666666668</v>
      </c>
      <c r="O163" s="40">
        <f t="shared" si="18"/>
        <v>-19.756666666666668</v>
      </c>
      <c r="P163" s="40"/>
      <c r="Q163" s="40"/>
      <c r="R163" s="40">
        <f t="shared" si="22"/>
        <v>-830.09954445756705</v>
      </c>
      <c r="S163" s="12"/>
    </row>
    <row r="164" spans="1:19" ht="30" hidden="1" x14ac:dyDescent="0.25">
      <c r="A164" s="5" t="s">
        <v>23</v>
      </c>
      <c r="B164" s="9" t="s">
        <v>28</v>
      </c>
      <c r="C164" s="9" t="s">
        <v>393</v>
      </c>
      <c r="D164" s="22">
        <v>45888</v>
      </c>
      <c r="E164" s="9">
        <v>2</v>
      </c>
      <c r="F164" s="10" t="s">
        <v>49</v>
      </c>
      <c r="G164" s="9" t="s">
        <v>74</v>
      </c>
      <c r="H164" s="9">
        <v>168</v>
      </c>
      <c r="I164" s="9" t="s">
        <v>94</v>
      </c>
      <c r="J164" s="38">
        <f t="shared" ref="J164:J195" si="23">H164</f>
        <v>168</v>
      </c>
      <c r="K164" s="38">
        <f t="shared" ref="K164:K195" si="24">AVERAGE(19.9,19.77,19.6)</f>
        <v>19.756666666666668</v>
      </c>
      <c r="L164" s="38">
        <f t="shared" ref="L164:L195" si="25">J164-K164</f>
        <v>148.24333333333334</v>
      </c>
      <c r="M164" s="38"/>
      <c r="N164" s="38">
        <f t="shared" si="17"/>
        <v>19.756666666666668</v>
      </c>
      <c r="O164" s="38">
        <f t="shared" si="18"/>
        <v>-19.756666666666668</v>
      </c>
      <c r="P164" s="38"/>
      <c r="Q164" s="38"/>
      <c r="R164" s="38">
        <f t="shared" ref="R164:R195" si="26">((L164-O164)/O164)*100</f>
        <v>-850.34587481019059</v>
      </c>
      <c r="S164" s="12"/>
    </row>
    <row r="165" spans="1:19" hidden="1" x14ac:dyDescent="0.25">
      <c r="A165" s="5" t="s">
        <v>23</v>
      </c>
      <c r="B165" s="9" t="s">
        <v>28</v>
      </c>
      <c r="C165" s="9" t="s">
        <v>394</v>
      </c>
      <c r="D165" s="22">
        <v>45888</v>
      </c>
      <c r="E165" s="9">
        <v>2</v>
      </c>
      <c r="F165" s="10" t="s">
        <v>50</v>
      </c>
      <c r="G165" s="9" t="s">
        <v>74</v>
      </c>
      <c r="H165" s="9">
        <v>162</v>
      </c>
      <c r="I165" s="9" t="s">
        <v>95</v>
      </c>
      <c r="J165" s="38">
        <f t="shared" si="23"/>
        <v>162</v>
      </c>
      <c r="K165" s="38">
        <f t="shared" si="24"/>
        <v>19.756666666666668</v>
      </c>
      <c r="L165" s="38">
        <f t="shared" si="25"/>
        <v>142.24333333333334</v>
      </c>
      <c r="M165" s="38"/>
      <c r="N165" s="38">
        <f t="shared" si="17"/>
        <v>19.756666666666668</v>
      </c>
      <c r="O165" s="38">
        <f t="shared" si="18"/>
        <v>-19.756666666666668</v>
      </c>
      <c r="P165" s="38"/>
      <c r="Q165" s="38"/>
      <c r="R165" s="38">
        <f t="shared" si="26"/>
        <v>-819.97637928125528</v>
      </c>
      <c r="S165" s="12"/>
    </row>
    <row r="166" spans="1:19" hidden="1" x14ac:dyDescent="0.25">
      <c r="A166" s="5" t="s">
        <v>23</v>
      </c>
      <c r="B166" s="9" t="s">
        <v>28</v>
      </c>
      <c r="C166" s="9" t="s">
        <v>395</v>
      </c>
      <c r="D166" s="22">
        <v>45888</v>
      </c>
      <c r="E166" s="9">
        <v>2</v>
      </c>
      <c r="F166" s="10" t="s">
        <v>51</v>
      </c>
      <c r="G166" s="9" t="s">
        <v>74</v>
      </c>
      <c r="H166" s="9">
        <v>125</v>
      </c>
      <c r="I166" s="9" t="s">
        <v>96</v>
      </c>
      <c r="J166" s="38">
        <f t="shared" si="23"/>
        <v>125</v>
      </c>
      <c r="K166" s="38">
        <f t="shared" si="24"/>
        <v>19.756666666666668</v>
      </c>
      <c r="L166" s="38">
        <f t="shared" si="25"/>
        <v>105.24333333333334</v>
      </c>
      <c r="M166" s="38"/>
      <c r="N166" s="38">
        <f t="shared" si="17"/>
        <v>19.756666666666668</v>
      </c>
      <c r="O166" s="38">
        <f t="shared" si="18"/>
        <v>-19.756666666666668</v>
      </c>
      <c r="P166" s="38"/>
      <c r="Q166" s="38"/>
      <c r="R166" s="38">
        <f t="shared" si="26"/>
        <v>-632.69782351948697</v>
      </c>
      <c r="S166" s="9"/>
    </row>
    <row r="167" spans="1:19" ht="30" hidden="1" x14ac:dyDescent="0.25">
      <c r="A167" s="5" t="s">
        <v>23</v>
      </c>
      <c r="B167" s="9" t="s">
        <v>28</v>
      </c>
      <c r="C167" s="9" t="s">
        <v>396</v>
      </c>
      <c r="D167" s="22">
        <v>45888</v>
      </c>
      <c r="E167" s="9">
        <v>2</v>
      </c>
      <c r="F167" s="10" t="s">
        <v>52</v>
      </c>
      <c r="G167" s="9" t="s">
        <v>74</v>
      </c>
      <c r="H167" s="9">
        <v>124</v>
      </c>
      <c r="I167" s="9" t="s">
        <v>97</v>
      </c>
      <c r="J167" s="38">
        <f t="shared" si="23"/>
        <v>124</v>
      </c>
      <c r="K167" s="38">
        <f t="shared" si="24"/>
        <v>19.756666666666668</v>
      </c>
      <c r="L167" s="38">
        <f t="shared" si="25"/>
        <v>104.24333333333334</v>
      </c>
      <c r="M167" s="38"/>
      <c r="N167" s="38">
        <f t="shared" si="17"/>
        <v>19.756666666666668</v>
      </c>
      <c r="O167" s="38">
        <f t="shared" si="18"/>
        <v>-19.756666666666668</v>
      </c>
      <c r="P167" s="38"/>
      <c r="Q167" s="38"/>
      <c r="R167" s="38">
        <f t="shared" si="26"/>
        <v>-627.63624093133114</v>
      </c>
      <c r="S167" s="9"/>
    </row>
    <row r="168" spans="1:19" hidden="1" x14ac:dyDescent="0.25">
      <c r="A168" s="5" t="s">
        <v>23</v>
      </c>
      <c r="B168" s="9" t="s">
        <v>28</v>
      </c>
      <c r="C168" s="9" t="s">
        <v>397</v>
      </c>
      <c r="D168" s="22">
        <v>45888</v>
      </c>
      <c r="E168" s="9">
        <v>2</v>
      </c>
      <c r="F168" s="10" t="s">
        <v>53</v>
      </c>
      <c r="G168" s="9" t="s">
        <v>74</v>
      </c>
      <c r="H168" s="9">
        <v>134</v>
      </c>
      <c r="I168" s="9" t="s">
        <v>98</v>
      </c>
      <c r="J168" s="38">
        <f t="shared" si="23"/>
        <v>134</v>
      </c>
      <c r="K168" s="38">
        <f t="shared" si="24"/>
        <v>19.756666666666668</v>
      </c>
      <c r="L168" s="38">
        <f t="shared" si="25"/>
        <v>114.24333333333334</v>
      </c>
      <c r="M168" s="38"/>
      <c r="N168" s="38">
        <f t="shared" si="17"/>
        <v>19.756666666666668</v>
      </c>
      <c r="O168" s="38">
        <f t="shared" si="18"/>
        <v>-19.756666666666668</v>
      </c>
      <c r="P168" s="38"/>
      <c r="Q168" s="38"/>
      <c r="R168" s="38">
        <f t="shared" si="26"/>
        <v>-678.25206681289012</v>
      </c>
      <c r="S168" s="9"/>
    </row>
    <row r="169" spans="1:19" hidden="1" x14ac:dyDescent="0.25">
      <c r="A169" s="5" t="s">
        <v>23</v>
      </c>
      <c r="B169" s="9" t="s">
        <v>28</v>
      </c>
      <c r="C169" s="9" t="s">
        <v>398</v>
      </c>
      <c r="D169" s="22">
        <v>45888</v>
      </c>
      <c r="E169" s="9">
        <v>2</v>
      </c>
      <c r="F169" s="10" t="s">
        <v>54</v>
      </c>
      <c r="G169" s="9" t="s">
        <v>74</v>
      </c>
      <c r="H169" s="9">
        <v>103</v>
      </c>
      <c r="I169" s="9" t="s">
        <v>99</v>
      </c>
      <c r="J169" s="38">
        <f t="shared" si="23"/>
        <v>103</v>
      </c>
      <c r="K169" s="38">
        <f t="shared" si="24"/>
        <v>19.756666666666668</v>
      </c>
      <c r="L169" s="38">
        <f t="shared" si="25"/>
        <v>83.243333333333339</v>
      </c>
      <c r="M169" s="38"/>
      <c r="N169" s="38">
        <f t="shared" si="17"/>
        <v>19.756666666666668</v>
      </c>
      <c r="O169" s="38">
        <f t="shared" si="18"/>
        <v>-19.756666666666668</v>
      </c>
      <c r="P169" s="38"/>
      <c r="Q169" s="38"/>
      <c r="R169" s="38">
        <f t="shared" si="26"/>
        <v>-521.34300658005736</v>
      </c>
      <c r="S169" s="9"/>
    </row>
    <row r="170" spans="1:19" hidden="1" x14ac:dyDescent="0.25">
      <c r="A170" s="5" t="s">
        <v>23</v>
      </c>
      <c r="B170" s="9" t="s">
        <v>28</v>
      </c>
      <c r="C170" s="9" t="s">
        <v>399</v>
      </c>
      <c r="D170" s="22">
        <v>45888</v>
      </c>
      <c r="E170" s="9">
        <v>2</v>
      </c>
      <c r="F170" s="10" t="s">
        <v>55</v>
      </c>
      <c r="G170" s="9" t="s">
        <v>74</v>
      </c>
      <c r="H170" s="9">
        <v>100</v>
      </c>
      <c r="I170" s="9" t="s">
        <v>99</v>
      </c>
      <c r="J170" s="38">
        <f t="shared" si="23"/>
        <v>100</v>
      </c>
      <c r="K170" s="38">
        <f t="shared" si="24"/>
        <v>19.756666666666668</v>
      </c>
      <c r="L170" s="38">
        <f t="shared" si="25"/>
        <v>80.243333333333339</v>
      </c>
      <c r="M170" s="38"/>
      <c r="N170" s="38">
        <f t="shared" si="17"/>
        <v>19.756666666666668</v>
      </c>
      <c r="O170" s="38">
        <f t="shared" si="18"/>
        <v>-19.756666666666668</v>
      </c>
      <c r="P170" s="38"/>
      <c r="Q170" s="38"/>
      <c r="R170" s="38">
        <f t="shared" si="26"/>
        <v>-506.1582588155897</v>
      </c>
      <c r="S170" s="9"/>
    </row>
    <row r="171" spans="1:19" hidden="1" x14ac:dyDescent="0.25">
      <c r="A171" s="5" t="s">
        <v>23</v>
      </c>
      <c r="B171" s="9" t="s">
        <v>28</v>
      </c>
      <c r="C171" s="9" t="s">
        <v>400</v>
      </c>
      <c r="D171" s="22">
        <v>45888</v>
      </c>
      <c r="E171" s="9">
        <v>2</v>
      </c>
      <c r="F171" s="10" t="s">
        <v>56</v>
      </c>
      <c r="G171" s="9" t="s">
        <v>74</v>
      </c>
      <c r="H171" s="9">
        <v>89</v>
      </c>
      <c r="I171" s="9" t="s">
        <v>100</v>
      </c>
      <c r="J171" s="38">
        <f t="shared" si="23"/>
        <v>89</v>
      </c>
      <c r="K171" s="38">
        <f t="shared" si="24"/>
        <v>19.756666666666668</v>
      </c>
      <c r="L171" s="38">
        <f t="shared" si="25"/>
        <v>69.243333333333339</v>
      </c>
      <c r="M171" s="38"/>
      <c r="N171" s="38">
        <f t="shared" si="17"/>
        <v>19.756666666666668</v>
      </c>
      <c r="O171" s="38">
        <f t="shared" si="18"/>
        <v>-19.756666666666668</v>
      </c>
      <c r="P171" s="38"/>
      <c r="Q171" s="38"/>
      <c r="R171" s="38">
        <f t="shared" si="26"/>
        <v>-450.48085034587484</v>
      </c>
      <c r="S171" s="9"/>
    </row>
    <row r="172" spans="1:19" hidden="1" x14ac:dyDescent="0.25">
      <c r="A172" s="5" t="s">
        <v>23</v>
      </c>
      <c r="B172" s="9" t="s">
        <v>28</v>
      </c>
      <c r="C172" s="9" t="s">
        <v>32</v>
      </c>
      <c r="D172" s="22">
        <v>45888</v>
      </c>
      <c r="E172" s="9">
        <v>2</v>
      </c>
      <c r="F172" s="10" t="s">
        <v>57</v>
      </c>
      <c r="G172" s="9" t="s">
        <v>85</v>
      </c>
      <c r="H172" s="9">
        <v>88</v>
      </c>
      <c r="I172" s="9" t="s">
        <v>101</v>
      </c>
      <c r="J172" s="38">
        <f t="shared" si="23"/>
        <v>88</v>
      </c>
      <c r="K172" s="38">
        <f t="shared" si="24"/>
        <v>19.756666666666668</v>
      </c>
      <c r="L172" s="38">
        <f t="shared" si="25"/>
        <v>68.243333333333339</v>
      </c>
      <c r="M172" s="38"/>
      <c r="N172" s="38">
        <f t="shared" si="17"/>
        <v>19.756666666666668</v>
      </c>
      <c r="O172" s="38">
        <f t="shared" si="18"/>
        <v>-19.756666666666668</v>
      </c>
      <c r="P172" s="38"/>
      <c r="Q172" s="38"/>
      <c r="R172" s="38">
        <f t="shared" si="26"/>
        <v>-445.4192677577189</v>
      </c>
      <c r="S172" s="31"/>
    </row>
    <row r="173" spans="1:19" hidden="1" x14ac:dyDescent="0.25">
      <c r="A173" s="5" t="s">
        <v>23</v>
      </c>
      <c r="B173" s="9" t="s">
        <v>28</v>
      </c>
      <c r="C173" s="9" t="s">
        <v>33</v>
      </c>
      <c r="D173" s="22">
        <v>45888</v>
      </c>
      <c r="E173" s="9">
        <v>1</v>
      </c>
      <c r="F173" s="10" t="s">
        <v>58</v>
      </c>
      <c r="G173" s="9" t="s">
        <v>85</v>
      </c>
      <c r="H173" s="9">
        <v>58</v>
      </c>
      <c r="I173" s="9" t="s">
        <v>101</v>
      </c>
      <c r="J173" s="38">
        <f t="shared" si="23"/>
        <v>58</v>
      </c>
      <c r="K173" s="38">
        <f t="shared" si="24"/>
        <v>19.756666666666668</v>
      </c>
      <c r="L173" s="38">
        <f t="shared" si="25"/>
        <v>38.243333333333332</v>
      </c>
      <c r="M173" s="38"/>
      <c r="N173" s="38">
        <f t="shared" si="17"/>
        <v>19.756666666666668</v>
      </c>
      <c r="O173" s="38">
        <f t="shared" si="18"/>
        <v>-19.756666666666668</v>
      </c>
      <c r="P173" s="38"/>
      <c r="Q173" s="38"/>
      <c r="R173" s="38">
        <f t="shared" si="26"/>
        <v>-293.57179011304197</v>
      </c>
      <c r="S173" s="9"/>
    </row>
    <row r="174" spans="1:19" hidden="1" x14ac:dyDescent="0.25">
      <c r="A174" s="5" t="s">
        <v>23</v>
      </c>
      <c r="B174" s="9" t="s">
        <v>28</v>
      </c>
      <c r="C174" s="9" t="s">
        <v>34</v>
      </c>
      <c r="D174" s="22">
        <v>45888</v>
      </c>
      <c r="E174" s="9">
        <v>1</v>
      </c>
      <c r="F174" s="10" t="s">
        <v>59</v>
      </c>
      <c r="G174" s="9" t="s">
        <v>85</v>
      </c>
      <c r="H174" s="9">
        <v>58</v>
      </c>
      <c r="I174" s="9" t="s">
        <v>102</v>
      </c>
      <c r="J174" s="38">
        <f t="shared" si="23"/>
        <v>58</v>
      </c>
      <c r="K174" s="38">
        <f t="shared" si="24"/>
        <v>19.756666666666668</v>
      </c>
      <c r="L174" s="38">
        <f t="shared" si="25"/>
        <v>38.243333333333332</v>
      </c>
      <c r="M174" s="38"/>
      <c r="N174" s="38">
        <f t="shared" si="17"/>
        <v>19.756666666666668</v>
      </c>
      <c r="O174" s="38">
        <f t="shared" si="18"/>
        <v>-19.756666666666668</v>
      </c>
      <c r="P174" s="38"/>
      <c r="Q174" s="38"/>
      <c r="R174" s="38">
        <f t="shared" si="26"/>
        <v>-293.57179011304197</v>
      </c>
      <c r="S174" s="9"/>
    </row>
    <row r="175" spans="1:19" hidden="1" x14ac:dyDescent="0.25">
      <c r="A175" s="5" t="s">
        <v>23</v>
      </c>
      <c r="B175" s="9" t="s">
        <v>28</v>
      </c>
      <c r="C175" s="9" t="s">
        <v>35</v>
      </c>
      <c r="D175" s="22">
        <v>45888</v>
      </c>
      <c r="E175" s="9">
        <v>1</v>
      </c>
      <c r="F175" s="10" t="s">
        <v>60</v>
      </c>
      <c r="G175" s="9" t="s">
        <v>85</v>
      </c>
      <c r="H175" s="9">
        <v>53</v>
      </c>
      <c r="I175" s="9" t="s">
        <v>102</v>
      </c>
      <c r="J175" s="38">
        <f t="shared" si="23"/>
        <v>53</v>
      </c>
      <c r="K175" s="38">
        <f t="shared" si="24"/>
        <v>19.756666666666668</v>
      </c>
      <c r="L175" s="38">
        <f t="shared" si="25"/>
        <v>33.243333333333332</v>
      </c>
      <c r="M175" s="38"/>
      <c r="N175" s="38">
        <f t="shared" si="17"/>
        <v>19.756666666666668</v>
      </c>
      <c r="O175" s="38">
        <f t="shared" si="18"/>
        <v>-19.756666666666668</v>
      </c>
      <c r="P175" s="38"/>
      <c r="Q175" s="38"/>
      <c r="R175" s="38">
        <f t="shared" si="26"/>
        <v>-268.26387717226254</v>
      </c>
      <c r="S175" s="9"/>
    </row>
    <row r="176" spans="1:19" hidden="1" x14ac:dyDescent="0.25">
      <c r="A176" s="5" t="s">
        <v>23</v>
      </c>
      <c r="B176" s="9" t="s">
        <v>28</v>
      </c>
      <c r="C176" s="9" t="s">
        <v>36</v>
      </c>
      <c r="D176" s="22">
        <v>45888</v>
      </c>
      <c r="E176" s="9">
        <v>1</v>
      </c>
      <c r="F176" s="10" t="s">
        <v>61</v>
      </c>
      <c r="G176" s="9" t="s">
        <v>85</v>
      </c>
      <c r="H176" s="9">
        <v>59</v>
      </c>
      <c r="I176" s="9" t="s">
        <v>102</v>
      </c>
      <c r="J176" s="38">
        <f t="shared" si="23"/>
        <v>59</v>
      </c>
      <c r="K176" s="38">
        <f t="shared" si="24"/>
        <v>19.756666666666668</v>
      </c>
      <c r="L176" s="38">
        <f t="shared" si="25"/>
        <v>39.243333333333332</v>
      </c>
      <c r="M176" s="38"/>
      <c r="N176" s="38">
        <f t="shared" si="17"/>
        <v>19.756666666666668</v>
      </c>
      <c r="O176" s="38">
        <f t="shared" si="18"/>
        <v>-19.756666666666668</v>
      </c>
      <c r="P176" s="38"/>
      <c r="Q176" s="38"/>
      <c r="R176" s="38">
        <f t="shared" si="26"/>
        <v>-298.63337270119786</v>
      </c>
      <c r="S176" s="9"/>
    </row>
    <row r="177" spans="1:19" hidden="1" x14ac:dyDescent="0.25">
      <c r="A177" s="5" t="s">
        <v>23</v>
      </c>
      <c r="B177" s="9" t="s">
        <v>28</v>
      </c>
      <c r="C177" s="9" t="s">
        <v>37</v>
      </c>
      <c r="D177" s="22">
        <v>45888</v>
      </c>
      <c r="E177" s="9">
        <v>1</v>
      </c>
      <c r="F177" s="10" t="s">
        <v>62</v>
      </c>
      <c r="G177" s="9" t="s">
        <v>85</v>
      </c>
      <c r="H177" s="9">
        <v>61</v>
      </c>
      <c r="I177" s="9" t="s">
        <v>102</v>
      </c>
      <c r="J177" s="38">
        <f t="shared" si="23"/>
        <v>61</v>
      </c>
      <c r="K177" s="38">
        <f t="shared" si="24"/>
        <v>19.756666666666668</v>
      </c>
      <c r="L177" s="38">
        <f t="shared" si="25"/>
        <v>41.243333333333332</v>
      </c>
      <c r="M177" s="38"/>
      <c r="N177" s="38">
        <f t="shared" si="17"/>
        <v>19.756666666666668</v>
      </c>
      <c r="O177" s="38">
        <f t="shared" si="18"/>
        <v>-19.756666666666668</v>
      </c>
      <c r="P177" s="38"/>
      <c r="Q177" s="38"/>
      <c r="R177" s="38">
        <f t="shared" si="26"/>
        <v>-308.75653787750969</v>
      </c>
      <c r="S177" s="9"/>
    </row>
    <row r="178" spans="1:19" ht="30" hidden="1" x14ac:dyDescent="0.25">
      <c r="A178" s="5" t="s">
        <v>23</v>
      </c>
      <c r="B178" s="9" t="s">
        <v>28</v>
      </c>
      <c r="C178" s="9" t="s">
        <v>38</v>
      </c>
      <c r="D178" s="22">
        <v>45888</v>
      </c>
      <c r="E178" s="9">
        <v>1</v>
      </c>
      <c r="F178" s="10" t="s">
        <v>63</v>
      </c>
      <c r="G178" s="9" t="s">
        <v>85</v>
      </c>
      <c r="H178" s="9">
        <v>61</v>
      </c>
      <c r="I178" s="9" t="s">
        <v>103</v>
      </c>
      <c r="J178" s="38">
        <f t="shared" si="23"/>
        <v>61</v>
      </c>
      <c r="K178" s="38">
        <f t="shared" si="24"/>
        <v>19.756666666666668</v>
      </c>
      <c r="L178" s="38">
        <f t="shared" si="25"/>
        <v>41.243333333333332</v>
      </c>
      <c r="M178" s="38"/>
      <c r="N178" s="38">
        <f t="shared" si="17"/>
        <v>19.756666666666668</v>
      </c>
      <c r="O178" s="38">
        <f t="shared" si="18"/>
        <v>-19.756666666666668</v>
      </c>
      <c r="P178" s="38"/>
      <c r="Q178" s="38"/>
      <c r="R178" s="38">
        <f t="shared" si="26"/>
        <v>-308.75653787750969</v>
      </c>
      <c r="S178" s="9"/>
    </row>
    <row r="179" spans="1:19" ht="30" hidden="1" x14ac:dyDescent="0.25">
      <c r="A179" s="5" t="s">
        <v>23</v>
      </c>
      <c r="B179" s="9" t="s">
        <v>28</v>
      </c>
      <c r="C179" s="9" t="s">
        <v>39</v>
      </c>
      <c r="D179" s="22">
        <v>45888</v>
      </c>
      <c r="E179" s="9">
        <v>1</v>
      </c>
      <c r="F179" s="10" t="s">
        <v>64</v>
      </c>
      <c r="G179" s="9" t="s">
        <v>85</v>
      </c>
      <c r="H179" s="9">
        <v>56</v>
      </c>
      <c r="I179" s="9" t="s">
        <v>103</v>
      </c>
      <c r="J179" s="38">
        <f t="shared" si="23"/>
        <v>56</v>
      </c>
      <c r="K179" s="38">
        <f t="shared" si="24"/>
        <v>19.756666666666668</v>
      </c>
      <c r="L179" s="38">
        <f t="shared" si="25"/>
        <v>36.243333333333332</v>
      </c>
      <c r="M179" s="38"/>
      <c r="N179" s="38">
        <f t="shared" si="17"/>
        <v>19.756666666666668</v>
      </c>
      <c r="O179" s="38">
        <f t="shared" si="18"/>
        <v>-19.756666666666668</v>
      </c>
      <c r="P179" s="38"/>
      <c r="Q179" s="38"/>
      <c r="R179" s="38">
        <f t="shared" si="26"/>
        <v>-283.4486249367302</v>
      </c>
      <c r="S179" s="9"/>
    </row>
    <row r="180" spans="1:19" ht="30" hidden="1" x14ac:dyDescent="0.25">
      <c r="A180" s="5" t="s">
        <v>23</v>
      </c>
      <c r="B180" s="9" t="s">
        <v>28</v>
      </c>
      <c r="C180" s="9" t="s">
        <v>40</v>
      </c>
      <c r="D180" s="22">
        <v>45888</v>
      </c>
      <c r="E180" s="9">
        <v>1</v>
      </c>
      <c r="F180" s="10" t="s">
        <v>65</v>
      </c>
      <c r="G180" s="9" t="s">
        <v>85</v>
      </c>
      <c r="H180" s="9">
        <v>78</v>
      </c>
      <c r="I180" s="9" t="s">
        <v>103</v>
      </c>
      <c r="J180" s="38">
        <f t="shared" si="23"/>
        <v>78</v>
      </c>
      <c r="K180" s="38">
        <f t="shared" si="24"/>
        <v>19.756666666666668</v>
      </c>
      <c r="L180" s="38">
        <f t="shared" si="25"/>
        <v>58.243333333333332</v>
      </c>
      <c r="M180" s="38"/>
      <c r="N180" s="38">
        <f t="shared" si="17"/>
        <v>19.756666666666668</v>
      </c>
      <c r="O180" s="38">
        <f t="shared" si="18"/>
        <v>-19.756666666666668</v>
      </c>
      <c r="P180" s="38"/>
      <c r="Q180" s="38"/>
      <c r="R180" s="38">
        <f t="shared" si="26"/>
        <v>-394.80344187615992</v>
      </c>
      <c r="S180" s="9"/>
    </row>
    <row r="181" spans="1:19" ht="30" hidden="1" x14ac:dyDescent="0.25">
      <c r="A181" s="5" t="s">
        <v>23</v>
      </c>
      <c r="B181" s="9" t="s">
        <v>28</v>
      </c>
      <c r="C181" s="9" t="s">
        <v>41</v>
      </c>
      <c r="D181" s="22">
        <v>45888</v>
      </c>
      <c r="E181" s="9">
        <v>1</v>
      </c>
      <c r="F181" s="10" t="s">
        <v>66</v>
      </c>
      <c r="G181" s="9" t="s">
        <v>85</v>
      </c>
      <c r="H181" s="9">
        <v>60</v>
      </c>
      <c r="I181" s="9" t="s">
        <v>103</v>
      </c>
      <c r="J181" s="38">
        <f t="shared" si="23"/>
        <v>60</v>
      </c>
      <c r="K181" s="38">
        <f t="shared" si="24"/>
        <v>19.756666666666668</v>
      </c>
      <c r="L181" s="38">
        <f t="shared" si="25"/>
        <v>40.243333333333332</v>
      </c>
      <c r="M181" s="38"/>
      <c r="N181" s="38">
        <f t="shared" si="17"/>
        <v>19.756666666666668</v>
      </c>
      <c r="O181" s="38">
        <f t="shared" si="18"/>
        <v>-19.756666666666668</v>
      </c>
      <c r="P181" s="38"/>
      <c r="Q181" s="38"/>
      <c r="R181" s="38">
        <f t="shared" si="26"/>
        <v>-303.6949552893538</v>
      </c>
      <c r="S181" s="9"/>
    </row>
    <row r="182" spans="1:19" ht="45" hidden="1" x14ac:dyDescent="0.25">
      <c r="A182" s="5" t="s">
        <v>23</v>
      </c>
      <c r="B182" s="9" t="s">
        <v>28</v>
      </c>
      <c r="C182" s="9" t="s">
        <v>42</v>
      </c>
      <c r="D182" s="22">
        <v>45888</v>
      </c>
      <c r="E182" s="9">
        <v>1</v>
      </c>
      <c r="F182" s="10" t="s">
        <v>67</v>
      </c>
      <c r="G182" s="9" t="s">
        <v>85</v>
      </c>
      <c r="H182" s="9">
        <v>64</v>
      </c>
      <c r="I182" s="9" t="s">
        <v>104</v>
      </c>
      <c r="J182" s="38">
        <f t="shared" si="23"/>
        <v>64</v>
      </c>
      <c r="K182" s="38">
        <f t="shared" si="24"/>
        <v>19.756666666666668</v>
      </c>
      <c r="L182" s="38">
        <f t="shared" si="25"/>
        <v>44.243333333333332</v>
      </c>
      <c r="M182" s="38"/>
      <c r="N182" s="38">
        <f t="shared" si="17"/>
        <v>19.756666666666668</v>
      </c>
      <c r="O182" s="38">
        <f t="shared" si="18"/>
        <v>-19.756666666666668</v>
      </c>
      <c r="P182" s="38"/>
      <c r="Q182" s="38"/>
      <c r="R182" s="38">
        <f t="shared" si="26"/>
        <v>-323.9412856419774</v>
      </c>
      <c r="S182" s="9"/>
    </row>
    <row r="183" spans="1:19" s="35" customFormat="1" ht="15.75" hidden="1" thickBot="1" x14ac:dyDescent="0.3">
      <c r="A183" s="19" t="s">
        <v>23</v>
      </c>
      <c r="B183" s="11" t="s">
        <v>28</v>
      </c>
      <c r="C183" s="11" t="s">
        <v>43</v>
      </c>
      <c r="D183" s="23">
        <v>45888</v>
      </c>
      <c r="E183" s="11">
        <v>1</v>
      </c>
      <c r="F183" s="14" t="s">
        <v>2</v>
      </c>
      <c r="G183" s="11" t="s">
        <v>74</v>
      </c>
      <c r="H183" s="11">
        <v>166</v>
      </c>
      <c r="I183" s="11" t="s">
        <v>105</v>
      </c>
      <c r="J183" s="41">
        <f t="shared" si="23"/>
        <v>166</v>
      </c>
      <c r="K183" s="41">
        <f t="shared" si="24"/>
        <v>19.756666666666668</v>
      </c>
      <c r="L183" s="41">
        <f t="shared" si="25"/>
        <v>146.24333333333334</v>
      </c>
      <c r="M183" s="41"/>
      <c r="N183" s="41">
        <f t="shared" si="17"/>
        <v>19.756666666666668</v>
      </c>
      <c r="O183" s="41">
        <f t="shared" si="18"/>
        <v>-19.756666666666668</v>
      </c>
      <c r="P183" s="41"/>
      <c r="Q183" s="41"/>
      <c r="R183" s="41">
        <f t="shared" si="26"/>
        <v>-840.22270963387871</v>
      </c>
      <c r="S183" s="11"/>
    </row>
    <row r="184" spans="1:19" hidden="1" x14ac:dyDescent="0.25">
      <c r="A184" s="20" t="s">
        <v>23</v>
      </c>
      <c r="B184" s="12" t="s">
        <v>30</v>
      </c>
      <c r="C184" s="12" t="s">
        <v>392</v>
      </c>
      <c r="D184" s="24">
        <v>45888</v>
      </c>
      <c r="E184" s="12">
        <v>2</v>
      </c>
      <c r="F184" s="13" t="s">
        <v>48</v>
      </c>
      <c r="G184" s="12" t="s">
        <v>116</v>
      </c>
      <c r="H184" s="12">
        <v>175</v>
      </c>
      <c r="I184" s="12" t="s">
        <v>117</v>
      </c>
      <c r="J184" s="40">
        <f t="shared" si="23"/>
        <v>175</v>
      </c>
      <c r="K184" s="40">
        <f t="shared" si="24"/>
        <v>19.756666666666668</v>
      </c>
      <c r="L184" s="40">
        <f t="shared" si="25"/>
        <v>155.24333333333334</v>
      </c>
      <c r="M184" s="40"/>
      <c r="N184" s="40">
        <f t="shared" ref="N184:N247" si="27">AVERAGE(19.9,19.77,19.6)</f>
        <v>19.756666666666668</v>
      </c>
      <c r="O184" s="40">
        <f t="shared" ref="O184:O247" si="28">M184-N184</f>
        <v>-19.756666666666668</v>
      </c>
      <c r="P184" s="40"/>
      <c r="Q184" s="40"/>
      <c r="R184" s="40">
        <f t="shared" si="26"/>
        <v>-885.77695292728185</v>
      </c>
      <c r="S184" s="12"/>
    </row>
    <row r="185" spans="1:19" hidden="1" x14ac:dyDescent="0.25">
      <c r="A185" s="5" t="s">
        <v>23</v>
      </c>
      <c r="B185" s="9" t="s">
        <v>30</v>
      </c>
      <c r="C185" s="9" t="s">
        <v>393</v>
      </c>
      <c r="D185" s="22">
        <v>45888</v>
      </c>
      <c r="E185" s="9">
        <v>2</v>
      </c>
      <c r="F185" s="10" t="s">
        <v>49</v>
      </c>
      <c r="G185" s="9" t="s">
        <v>116</v>
      </c>
      <c r="H185" s="9">
        <v>124</v>
      </c>
      <c r="I185" s="9" t="s">
        <v>118</v>
      </c>
      <c r="J185" s="38">
        <f t="shared" si="23"/>
        <v>124</v>
      </c>
      <c r="K185" s="38">
        <f t="shared" si="24"/>
        <v>19.756666666666668</v>
      </c>
      <c r="L185" s="38">
        <f t="shared" si="25"/>
        <v>104.24333333333334</v>
      </c>
      <c r="M185" s="38"/>
      <c r="N185" s="38">
        <f t="shared" si="27"/>
        <v>19.756666666666668</v>
      </c>
      <c r="O185" s="38">
        <f t="shared" si="28"/>
        <v>-19.756666666666668</v>
      </c>
      <c r="P185" s="38"/>
      <c r="Q185" s="38"/>
      <c r="R185" s="38">
        <f t="shared" si="26"/>
        <v>-627.63624093133114</v>
      </c>
      <c r="S185" s="9"/>
    </row>
    <row r="186" spans="1:19" hidden="1" x14ac:dyDescent="0.25">
      <c r="A186" s="5" t="s">
        <v>23</v>
      </c>
      <c r="B186" s="9" t="s">
        <v>30</v>
      </c>
      <c r="C186" s="9" t="s">
        <v>394</v>
      </c>
      <c r="D186" s="22">
        <v>45888</v>
      </c>
      <c r="E186" s="9">
        <v>2</v>
      </c>
      <c r="F186" s="10" t="s">
        <v>50</v>
      </c>
      <c r="G186" s="9" t="s">
        <v>116</v>
      </c>
      <c r="H186" s="9">
        <v>93</v>
      </c>
      <c r="I186" s="9" t="s">
        <v>119</v>
      </c>
      <c r="J186" s="38">
        <f t="shared" si="23"/>
        <v>93</v>
      </c>
      <c r="K186" s="38">
        <f t="shared" si="24"/>
        <v>19.756666666666668</v>
      </c>
      <c r="L186" s="38">
        <f t="shared" si="25"/>
        <v>73.243333333333339</v>
      </c>
      <c r="M186" s="38"/>
      <c r="N186" s="38">
        <f t="shared" si="27"/>
        <v>19.756666666666668</v>
      </c>
      <c r="O186" s="38">
        <f t="shared" si="28"/>
        <v>-19.756666666666668</v>
      </c>
      <c r="P186" s="38"/>
      <c r="Q186" s="38"/>
      <c r="R186" s="38">
        <f t="shared" si="26"/>
        <v>-470.72718069849839</v>
      </c>
      <c r="S186" s="9"/>
    </row>
    <row r="187" spans="1:19" ht="30" hidden="1" x14ac:dyDescent="0.25">
      <c r="A187" s="5" t="s">
        <v>23</v>
      </c>
      <c r="B187" s="9" t="s">
        <v>30</v>
      </c>
      <c r="C187" s="9" t="s">
        <v>395</v>
      </c>
      <c r="D187" s="22">
        <v>45888</v>
      </c>
      <c r="E187" s="9">
        <v>2</v>
      </c>
      <c r="F187" s="10" t="s">
        <v>51</v>
      </c>
      <c r="G187" s="9" t="s">
        <v>116</v>
      </c>
      <c r="H187" s="9">
        <v>72</v>
      </c>
      <c r="I187" s="9" t="s">
        <v>120</v>
      </c>
      <c r="J187" s="38">
        <f t="shared" si="23"/>
        <v>72</v>
      </c>
      <c r="K187" s="38">
        <f t="shared" si="24"/>
        <v>19.756666666666668</v>
      </c>
      <c r="L187" s="38">
        <f t="shared" si="25"/>
        <v>52.243333333333332</v>
      </c>
      <c r="M187" s="38"/>
      <c r="N187" s="38">
        <f t="shared" si="27"/>
        <v>19.756666666666668</v>
      </c>
      <c r="O187" s="38">
        <f t="shared" si="28"/>
        <v>-19.756666666666668</v>
      </c>
      <c r="P187" s="38"/>
      <c r="Q187" s="38"/>
      <c r="R187" s="38">
        <f t="shared" si="26"/>
        <v>-364.43394634722455</v>
      </c>
      <c r="S187" s="9"/>
    </row>
    <row r="188" spans="1:19" ht="30" hidden="1" x14ac:dyDescent="0.25">
      <c r="A188" s="5" t="s">
        <v>23</v>
      </c>
      <c r="B188" s="9" t="s">
        <v>30</v>
      </c>
      <c r="C188" s="9" t="s">
        <v>396</v>
      </c>
      <c r="D188" s="22">
        <v>45888</v>
      </c>
      <c r="E188" s="9">
        <v>2</v>
      </c>
      <c r="F188" s="10" t="s">
        <v>52</v>
      </c>
      <c r="G188" s="9" t="s">
        <v>85</v>
      </c>
      <c r="H188" s="9">
        <v>31</v>
      </c>
      <c r="I188" s="9" t="s">
        <v>121</v>
      </c>
      <c r="J188" s="38">
        <f t="shared" si="23"/>
        <v>31</v>
      </c>
      <c r="K188" s="38">
        <f t="shared" si="24"/>
        <v>19.756666666666668</v>
      </c>
      <c r="L188" s="38">
        <f t="shared" si="25"/>
        <v>11.243333333333332</v>
      </c>
      <c r="M188" s="38"/>
      <c r="N188" s="38">
        <f t="shared" si="27"/>
        <v>19.756666666666668</v>
      </c>
      <c r="O188" s="38">
        <f t="shared" si="28"/>
        <v>-19.756666666666668</v>
      </c>
      <c r="P188" s="38"/>
      <c r="Q188" s="38"/>
      <c r="R188" s="38">
        <f t="shared" si="26"/>
        <v>-156.90906023283279</v>
      </c>
      <c r="S188" s="9"/>
    </row>
    <row r="189" spans="1:19" hidden="1" x14ac:dyDescent="0.25">
      <c r="A189" s="5" t="s">
        <v>23</v>
      </c>
      <c r="B189" s="9" t="s">
        <v>30</v>
      </c>
      <c r="C189" s="9" t="s">
        <v>397</v>
      </c>
      <c r="D189" s="22">
        <v>45888</v>
      </c>
      <c r="E189" s="9">
        <v>2</v>
      </c>
      <c r="F189" s="10" t="s">
        <v>53</v>
      </c>
      <c r="G189" s="9" t="s">
        <v>85</v>
      </c>
      <c r="H189" s="9">
        <v>37</v>
      </c>
      <c r="I189" s="9" t="s">
        <v>122</v>
      </c>
      <c r="J189" s="38">
        <f t="shared" si="23"/>
        <v>37</v>
      </c>
      <c r="K189" s="38">
        <f t="shared" si="24"/>
        <v>19.756666666666668</v>
      </c>
      <c r="L189" s="38">
        <f t="shared" si="25"/>
        <v>17.243333333333332</v>
      </c>
      <c r="M189" s="38"/>
      <c r="N189" s="38">
        <f t="shared" si="27"/>
        <v>19.756666666666668</v>
      </c>
      <c r="O189" s="38">
        <f t="shared" si="28"/>
        <v>-19.756666666666668</v>
      </c>
      <c r="P189" s="38"/>
      <c r="Q189" s="38"/>
      <c r="R189" s="38">
        <f t="shared" si="26"/>
        <v>-187.27855576176816</v>
      </c>
      <c r="S189" s="9"/>
    </row>
    <row r="190" spans="1:19" hidden="1" x14ac:dyDescent="0.25">
      <c r="A190" s="5" t="s">
        <v>23</v>
      </c>
      <c r="B190" s="9" t="s">
        <v>30</v>
      </c>
      <c r="C190" s="9" t="s">
        <v>398</v>
      </c>
      <c r="D190" s="22">
        <v>45888</v>
      </c>
      <c r="E190" s="9">
        <v>2</v>
      </c>
      <c r="F190" s="10" t="s">
        <v>54</v>
      </c>
      <c r="G190" s="9" t="s">
        <v>85</v>
      </c>
      <c r="H190" s="9">
        <v>45</v>
      </c>
      <c r="I190" s="9" t="s">
        <v>122</v>
      </c>
      <c r="J190" s="38">
        <f t="shared" si="23"/>
        <v>45</v>
      </c>
      <c r="K190" s="38">
        <f t="shared" si="24"/>
        <v>19.756666666666668</v>
      </c>
      <c r="L190" s="38">
        <f t="shared" si="25"/>
        <v>25.243333333333332</v>
      </c>
      <c r="M190" s="38"/>
      <c r="N190" s="38">
        <f t="shared" si="27"/>
        <v>19.756666666666668</v>
      </c>
      <c r="O190" s="38">
        <f t="shared" si="28"/>
        <v>-19.756666666666668</v>
      </c>
      <c r="P190" s="38"/>
      <c r="Q190" s="38"/>
      <c r="R190" s="38">
        <f t="shared" si="26"/>
        <v>-227.77121646701534</v>
      </c>
      <c r="S190" s="9"/>
    </row>
    <row r="191" spans="1:19" hidden="1" x14ac:dyDescent="0.25">
      <c r="A191" s="5" t="s">
        <v>23</v>
      </c>
      <c r="B191" s="9" t="s">
        <v>30</v>
      </c>
      <c r="C191" s="9" t="s">
        <v>399</v>
      </c>
      <c r="D191" s="22">
        <v>45888</v>
      </c>
      <c r="E191" s="9">
        <v>2</v>
      </c>
      <c r="F191" s="10" t="s">
        <v>55</v>
      </c>
      <c r="G191" s="9" t="s">
        <v>85</v>
      </c>
      <c r="H191" s="9">
        <v>77</v>
      </c>
      <c r="I191" s="9" t="s">
        <v>123</v>
      </c>
      <c r="J191" s="38">
        <f t="shared" si="23"/>
        <v>77</v>
      </c>
      <c r="K191" s="38">
        <f t="shared" si="24"/>
        <v>19.756666666666668</v>
      </c>
      <c r="L191" s="38">
        <f t="shared" si="25"/>
        <v>57.243333333333332</v>
      </c>
      <c r="M191" s="38"/>
      <c r="N191" s="38">
        <f t="shared" si="27"/>
        <v>19.756666666666668</v>
      </c>
      <c r="O191" s="38">
        <f t="shared" si="28"/>
        <v>-19.756666666666668</v>
      </c>
      <c r="P191" s="38"/>
      <c r="Q191" s="38"/>
      <c r="R191" s="38">
        <f t="shared" si="26"/>
        <v>-389.74185928800404</v>
      </c>
      <c r="S191" s="9"/>
    </row>
    <row r="192" spans="1:19" hidden="1" x14ac:dyDescent="0.25">
      <c r="A192" s="5" t="s">
        <v>23</v>
      </c>
      <c r="B192" s="9" t="s">
        <v>30</v>
      </c>
      <c r="C192" s="9" t="s">
        <v>400</v>
      </c>
      <c r="D192" s="22">
        <v>45888</v>
      </c>
      <c r="E192" s="9">
        <v>2</v>
      </c>
      <c r="F192" s="10" t="s">
        <v>56</v>
      </c>
      <c r="G192" s="9" t="s">
        <v>85</v>
      </c>
      <c r="H192" s="9">
        <v>63</v>
      </c>
      <c r="I192" s="9" t="s">
        <v>124</v>
      </c>
      <c r="J192" s="38">
        <f t="shared" si="23"/>
        <v>63</v>
      </c>
      <c r="K192" s="38">
        <f t="shared" si="24"/>
        <v>19.756666666666668</v>
      </c>
      <c r="L192" s="38">
        <f t="shared" si="25"/>
        <v>43.243333333333332</v>
      </c>
      <c r="M192" s="38"/>
      <c r="N192" s="38">
        <f t="shared" si="27"/>
        <v>19.756666666666668</v>
      </c>
      <c r="O192" s="38">
        <f t="shared" si="28"/>
        <v>-19.756666666666668</v>
      </c>
      <c r="P192" s="38"/>
      <c r="Q192" s="38"/>
      <c r="R192" s="38">
        <f t="shared" si="26"/>
        <v>-318.87970305382146</v>
      </c>
      <c r="S192" s="9"/>
    </row>
    <row r="193" spans="1:19" hidden="1" x14ac:dyDescent="0.25">
      <c r="A193" s="5" t="s">
        <v>23</v>
      </c>
      <c r="B193" s="9" t="s">
        <v>30</v>
      </c>
      <c r="C193" s="9" t="s">
        <v>32</v>
      </c>
      <c r="D193" s="22">
        <v>45888</v>
      </c>
      <c r="E193" s="9">
        <v>2</v>
      </c>
      <c r="F193" s="10" t="s">
        <v>57</v>
      </c>
      <c r="G193" s="9" t="s">
        <v>74</v>
      </c>
      <c r="H193" s="9">
        <v>76</v>
      </c>
      <c r="I193" s="9" t="s">
        <v>125</v>
      </c>
      <c r="J193" s="38">
        <f t="shared" si="23"/>
        <v>76</v>
      </c>
      <c r="K193" s="38">
        <f t="shared" si="24"/>
        <v>19.756666666666668</v>
      </c>
      <c r="L193" s="38">
        <f t="shared" si="25"/>
        <v>56.243333333333332</v>
      </c>
      <c r="M193" s="38"/>
      <c r="N193" s="38">
        <f t="shared" si="27"/>
        <v>19.756666666666668</v>
      </c>
      <c r="O193" s="38">
        <f t="shared" si="28"/>
        <v>-19.756666666666668</v>
      </c>
      <c r="P193" s="38"/>
      <c r="Q193" s="38"/>
      <c r="R193" s="38">
        <f t="shared" si="26"/>
        <v>-384.68027669984815</v>
      </c>
      <c r="S193" s="9"/>
    </row>
    <row r="194" spans="1:19" hidden="1" x14ac:dyDescent="0.25">
      <c r="A194" s="5" t="s">
        <v>23</v>
      </c>
      <c r="B194" s="9" t="s">
        <v>30</v>
      </c>
      <c r="C194" s="9" t="s">
        <v>33</v>
      </c>
      <c r="D194" s="22">
        <v>45888</v>
      </c>
      <c r="E194" s="9">
        <v>1</v>
      </c>
      <c r="F194" s="10" t="s">
        <v>58</v>
      </c>
      <c r="G194" s="9" t="s">
        <v>74</v>
      </c>
      <c r="H194" s="9">
        <v>46</v>
      </c>
      <c r="I194" s="9" t="s">
        <v>126</v>
      </c>
      <c r="J194" s="38">
        <f t="shared" si="23"/>
        <v>46</v>
      </c>
      <c r="K194" s="38">
        <f t="shared" si="24"/>
        <v>19.756666666666668</v>
      </c>
      <c r="L194" s="38">
        <f t="shared" si="25"/>
        <v>26.243333333333332</v>
      </c>
      <c r="M194" s="38"/>
      <c r="N194" s="38">
        <f t="shared" si="27"/>
        <v>19.756666666666668</v>
      </c>
      <c r="O194" s="38">
        <f t="shared" si="28"/>
        <v>-19.756666666666668</v>
      </c>
      <c r="P194" s="38"/>
      <c r="Q194" s="38"/>
      <c r="R194" s="38">
        <f t="shared" si="26"/>
        <v>-232.83279905517125</v>
      </c>
      <c r="S194" s="9"/>
    </row>
    <row r="195" spans="1:19" hidden="1" x14ac:dyDescent="0.25">
      <c r="A195" s="5" t="s">
        <v>23</v>
      </c>
      <c r="B195" s="9" t="s">
        <v>30</v>
      </c>
      <c r="C195" s="9" t="s">
        <v>34</v>
      </c>
      <c r="D195" s="22">
        <v>45888</v>
      </c>
      <c r="E195" s="9">
        <v>1</v>
      </c>
      <c r="F195" s="10" t="s">
        <v>59</v>
      </c>
      <c r="G195" s="9" t="s">
        <v>74</v>
      </c>
      <c r="H195" s="9">
        <v>51</v>
      </c>
      <c r="I195" s="9" t="s">
        <v>127</v>
      </c>
      <c r="J195" s="38">
        <f t="shared" si="23"/>
        <v>51</v>
      </c>
      <c r="K195" s="38">
        <f t="shared" si="24"/>
        <v>19.756666666666668</v>
      </c>
      <c r="L195" s="38">
        <f t="shared" si="25"/>
        <v>31.243333333333332</v>
      </c>
      <c r="M195" s="38"/>
      <c r="N195" s="38">
        <f t="shared" si="27"/>
        <v>19.756666666666668</v>
      </c>
      <c r="O195" s="38">
        <f t="shared" si="28"/>
        <v>-19.756666666666668</v>
      </c>
      <c r="P195" s="38"/>
      <c r="Q195" s="38"/>
      <c r="R195" s="38">
        <f t="shared" si="26"/>
        <v>-258.14071199595071</v>
      </c>
      <c r="S195" s="9"/>
    </row>
    <row r="196" spans="1:19" hidden="1" x14ac:dyDescent="0.25">
      <c r="A196" s="5" t="s">
        <v>23</v>
      </c>
      <c r="B196" s="9" t="s">
        <v>30</v>
      </c>
      <c r="C196" s="9" t="s">
        <v>35</v>
      </c>
      <c r="D196" s="22">
        <v>45888</v>
      </c>
      <c r="E196" s="9">
        <v>1</v>
      </c>
      <c r="F196" s="10" t="s">
        <v>60</v>
      </c>
      <c r="G196" s="9" t="s">
        <v>74</v>
      </c>
      <c r="H196" s="9">
        <v>54</v>
      </c>
      <c r="I196" s="9" t="s">
        <v>128</v>
      </c>
      <c r="J196" s="38">
        <f t="shared" ref="J196:J227" si="29">H196</f>
        <v>54</v>
      </c>
      <c r="K196" s="38">
        <f t="shared" ref="K196:K227" si="30">AVERAGE(19.9,19.77,19.6)</f>
        <v>19.756666666666668</v>
      </c>
      <c r="L196" s="38">
        <f t="shared" ref="L196:L227" si="31">J196-K196</f>
        <v>34.243333333333332</v>
      </c>
      <c r="M196" s="38"/>
      <c r="N196" s="38">
        <f t="shared" si="27"/>
        <v>19.756666666666668</v>
      </c>
      <c r="O196" s="38">
        <f t="shared" si="28"/>
        <v>-19.756666666666668</v>
      </c>
      <c r="P196" s="38"/>
      <c r="Q196" s="38"/>
      <c r="R196" s="38">
        <f t="shared" ref="R196:R227" si="32">((L196-O196)/O196)*100</f>
        <v>-273.32545976041843</v>
      </c>
      <c r="S196" s="9"/>
    </row>
    <row r="197" spans="1:19" hidden="1" x14ac:dyDescent="0.25">
      <c r="A197" s="5" t="s">
        <v>23</v>
      </c>
      <c r="B197" s="9" t="s">
        <v>30</v>
      </c>
      <c r="C197" s="9" t="s">
        <v>36</v>
      </c>
      <c r="D197" s="22">
        <v>45888</v>
      </c>
      <c r="E197" s="9">
        <v>1</v>
      </c>
      <c r="F197" s="10" t="s">
        <v>61</v>
      </c>
      <c r="G197" s="9" t="s">
        <v>74</v>
      </c>
      <c r="H197" s="9">
        <v>44</v>
      </c>
      <c r="I197" s="9" t="s">
        <v>129</v>
      </c>
      <c r="J197" s="38">
        <f t="shared" si="29"/>
        <v>44</v>
      </c>
      <c r="K197" s="38">
        <f t="shared" si="30"/>
        <v>19.756666666666668</v>
      </c>
      <c r="L197" s="38">
        <f t="shared" si="31"/>
        <v>24.243333333333332</v>
      </c>
      <c r="M197" s="38"/>
      <c r="N197" s="38">
        <f t="shared" si="27"/>
        <v>19.756666666666668</v>
      </c>
      <c r="O197" s="38">
        <f t="shared" si="28"/>
        <v>-19.756666666666668</v>
      </c>
      <c r="P197" s="38"/>
      <c r="Q197" s="38"/>
      <c r="R197" s="38">
        <f t="shared" si="32"/>
        <v>-222.70963387885945</v>
      </c>
      <c r="S197" s="9"/>
    </row>
    <row r="198" spans="1:19" hidden="1" x14ac:dyDescent="0.25">
      <c r="A198" s="5" t="s">
        <v>23</v>
      </c>
      <c r="B198" s="9" t="s">
        <v>30</v>
      </c>
      <c r="C198" s="9" t="s">
        <v>37</v>
      </c>
      <c r="D198" s="22">
        <v>45888</v>
      </c>
      <c r="E198" s="9">
        <v>1</v>
      </c>
      <c r="F198" s="10" t="s">
        <v>62</v>
      </c>
      <c r="G198" s="9" t="s">
        <v>74</v>
      </c>
      <c r="H198" s="9">
        <v>45</v>
      </c>
      <c r="I198" s="9" t="s">
        <v>130</v>
      </c>
      <c r="J198" s="38">
        <f t="shared" si="29"/>
        <v>45</v>
      </c>
      <c r="K198" s="38">
        <f t="shared" si="30"/>
        <v>19.756666666666668</v>
      </c>
      <c r="L198" s="38">
        <f t="shared" si="31"/>
        <v>25.243333333333332</v>
      </c>
      <c r="M198" s="38"/>
      <c r="N198" s="38">
        <f t="shared" si="27"/>
        <v>19.756666666666668</v>
      </c>
      <c r="O198" s="38">
        <f t="shared" si="28"/>
        <v>-19.756666666666668</v>
      </c>
      <c r="P198" s="38"/>
      <c r="Q198" s="38"/>
      <c r="R198" s="38">
        <f t="shared" si="32"/>
        <v>-227.77121646701534</v>
      </c>
      <c r="S198" s="9"/>
    </row>
    <row r="199" spans="1:19" hidden="1" x14ac:dyDescent="0.25">
      <c r="A199" s="5" t="s">
        <v>23</v>
      </c>
      <c r="B199" s="9" t="s">
        <v>30</v>
      </c>
      <c r="C199" s="9" t="s">
        <v>38</v>
      </c>
      <c r="D199" s="22">
        <v>45888</v>
      </c>
      <c r="E199" s="9">
        <v>1</v>
      </c>
      <c r="F199" s="10" t="s">
        <v>63</v>
      </c>
      <c r="G199" s="9" t="s">
        <v>74</v>
      </c>
      <c r="H199" s="9">
        <v>45</v>
      </c>
      <c r="I199" s="9" t="s">
        <v>131</v>
      </c>
      <c r="J199" s="38">
        <f t="shared" si="29"/>
        <v>45</v>
      </c>
      <c r="K199" s="38">
        <f t="shared" si="30"/>
        <v>19.756666666666668</v>
      </c>
      <c r="L199" s="38">
        <f t="shared" si="31"/>
        <v>25.243333333333332</v>
      </c>
      <c r="M199" s="38"/>
      <c r="N199" s="38">
        <f t="shared" si="27"/>
        <v>19.756666666666668</v>
      </c>
      <c r="O199" s="38">
        <f t="shared" si="28"/>
        <v>-19.756666666666668</v>
      </c>
      <c r="P199" s="38"/>
      <c r="Q199" s="38"/>
      <c r="R199" s="38">
        <f t="shared" si="32"/>
        <v>-227.77121646701534</v>
      </c>
      <c r="S199" s="9"/>
    </row>
    <row r="200" spans="1:19" hidden="1" x14ac:dyDescent="0.25">
      <c r="A200" s="5" t="s">
        <v>23</v>
      </c>
      <c r="B200" s="9" t="s">
        <v>30</v>
      </c>
      <c r="C200" s="9" t="s">
        <v>39</v>
      </c>
      <c r="D200" s="22">
        <v>45888</v>
      </c>
      <c r="E200" s="9">
        <v>1</v>
      </c>
      <c r="F200" s="10" t="s">
        <v>64</v>
      </c>
      <c r="G200" s="9" t="s">
        <v>74</v>
      </c>
      <c r="H200" s="9">
        <v>37</v>
      </c>
      <c r="I200" s="9" t="s">
        <v>131</v>
      </c>
      <c r="J200" s="38">
        <f t="shared" si="29"/>
        <v>37</v>
      </c>
      <c r="K200" s="38">
        <f t="shared" si="30"/>
        <v>19.756666666666668</v>
      </c>
      <c r="L200" s="38">
        <f t="shared" si="31"/>
        <v>17.243333333333332</v>
      </c>
      <c r="M200" s="38"/>
      <c r="N200" s="38">
        <f t="shared" si="27"/>
        <v>19.756666666666668</v>
      </c>
      <c r="O200" s="38">
        <f t="shared" si="28"/>
        <v>-19.756666666666668</v>
      </c>
      <c r="P200" s="38"/>
      <c r="Q200" s="38"/>
      <c r="R200" s="38">
        <f t="shared" si="32"/>
        <v>-187.27855576176816</v>
      </c>
      <c r="S200" s="9"/>
    </row>
    <row r="201" spans="1:19" hidden="1" x14ac:dyDescent="0.25">
      <c r="A201" s="5" t="s">
        <v>23</v>
      </c>
      <c r="B201" s="9" t="s">
        <v>30</v>
      </c>
      <c r="C201" s="9" t="s">
        <v>40</v>
      </c>
      <c r="D201" s="22">
        <v>45888</v>
      </c>
      <c r="E201" s="9">
        <v>1</v>
      </c>
      <c r="F201" s="10" t="s">
        <v>65</v>
      </c>
      <c r="G201" s="9" t="s">
        <v>85</v>
      </c>
      <c r="H201" s="9">
        <v>61</v>
      </c>
      <c r="I201" s="9" t="s">
        <v>132</v>
      </c>
      <c r="J201" s="38">
        <f t="shared" si="29"/>
        <v>61</v>
      </c>
      <c r="K201" s="38">
        <f t="shared" si="30"/>
        <v>19.756666666666668</v>
      </c>
      <c r="L201" s="38">
        <f t="shared" si="31"/>
        <v>41.243333333333332</v>
      </c>
      <c r="M201" s="38"/>
      <c r="N201" s="38">
        <f t="shared" si="27"/>
        <v>19.756666666666668</v>
      </c>
      <c r="O201" s="38">
        <f t="shared" si="28"/>
        <v>-19.756666666666668</v>
      </c>
      <c r="P201" s="38"/>
      <c r="Q201" s="38"/>
      <c r="R201" s="38">
        <f t="shared" si="32"/>
        <v>-308.75653787750969</v>
      </c>
      <c r="S201" s="12"/>
    </row>
    <row r="202" spans="1:19" hidden="1" x14ac:dyDescent="0.25">
      <c r="A202" s="5" t="s">
        <v>23</v>
      </c>
      <c r="B202" s="9" t="s">
        <v>30</v>
      </c>
      <c r="C202" s="9" t="s">
        <v>41</v>
      </c>
      <c r="D202" s="22">
        <v>45888</v>
      </c>
      <c r="E202" s="9">
        <v>1</v>
      </c>
      <c r="F202" s="10" t="s">
        <v>66</v>
      </c>
      <c r="G202" s="9" t="s">
        <v>74</v>
      </c>
      <c r="H202" s="9">
        <v>43</v>
      </c>
      <c r="I202" s="9" t="s">
        <v>133</v>
      </c>
      <c r="J202" s="38">
        <f t="shared" si="29"/>
        <v>43</v>
      </c>
      <c r="K202" s="38">
        <f t="shared" si="30"/>
        <v>19.756666666666668</v>
      </c>
      <c r="L202" s="38">
        <f t="shared" si="31"/>
        <v>23.243333333333332</v>
      </c>
      <c r="M202" s="38"/>
      <c r="N202" s="38">
        <f t="shared" si="27"/>
        <v>19.756666666666668</v>
      </c>
      <c r="O202" s="38">
        <f t="shared" si="28"/>
        <v>-19.756666666666668</v>
      </c>
      <c r="P202" s="38"/>
      <c r="Q202" s="38"/>
      <c r="R202" s="38">
        <f t="shared" si="32"/>
        <v>-217.64805129070356</v>
      </c>
      <c r="S202" s="9"/>
    </row>
    <row r="203" spans="1:19" hidden="1" x14ac:dyDescent="0.25">
      <c r="A203" s="5" t="s">
        <v>23</v>
      </c>
      <c r="B203" s="9" t="s">
        <v>30</v>
      </c>
      <c r="C203" s="9" t="s">
        <v>42</v>
      </c>
      <c r="D203" s="22">
        <v>45888</v>
      </c>
      <c r="E203" s="9">
        <v>1</v>
      </c>
      <c r="F203" s="10" t="s">
        <v>67</v>
      </c>
      <c r="G203" s="9" t="s">
        <v>74</v>
      </c>
      <c r="H203" s="9">
        <v>53</v>
      </c>
      <c r="I203" s="9" t="s">
        <v>134</v>
      </c>
      <c r="J203" s="38">
        <f t="shared" si="29"/>
        <v>53</v>
      </c>
      <c r="K203" s="38">
        <f t="shared" si="30"/>
        <v>19.756666666666668</v>
      </c>
      <c r="L203" s="38">
        <f t="shared" si="31"/>
        <v>33.243333333333332</v>
      </c>
      <c r="M203" s="38"/>
      <c r="N203" s="38">
        <f t="shared" si="27"/>
        <v>19.756666666666668</v>
      </c>
      <c r="O203" s="38">
        <f t="shared" si="28"/>
        <v>-19.756666666666668</v>
      </c>
      <c r="P203" s="38"/>
      <c r="Q203" s="38"/>
      <c r="R203" s="38">
        <f t="shared" si="32"/>
        <v>-268.26387717226254</v>
      </c>
      <c r="S203" s="9"/>
    </row>
    <row r="204" spans="1:19" s="35" customFormat="1" ht="15.75" hidden="1" thickBot="1" x14ac:dyDescent="0.3">
      <c r="A204" s="19" t="s">
        <v>23</v>
      </c>
      <c r="B204" s="11" t="s">
        <v>30</v>
      </c>
      <c r="C204" s="11" t="s">
        <v>43</v>
      </c>
      <c r="D204" s="23">
        <v>45888</v>
      </c>
      <c r="E204" s="11">
        <v>4</v>
      </c>
      <c r="F204" s="14" t="s">
        <v>2</v>
      </c>
      <c r="G204" s="11" t="s">
        <v>74</v>
      </c>
      <c r="H204" s="11">
        <v>101</v>
      </c>
      <c r="I204" s="11"/>
      <c r="J204" s="41">
        <f t="shared" si="29"/>
        <v>101</v>
      </c>
      <c r="K204" s="41">
        <f t="shared" si="30"/>
        <v>19.756666666666668</v>
      </c>
      <c r="L204" s="41">
        <f t="shared" si="31"/>
        <v>81.243333333333339</v>
      </c>
      <c r="M204" s="41"/>
      <c r="N204" s="41">
        <f t="shared" si="27"/>
        <v>19.756666666666668</v>
      </c>
      <c r="O204" s="41">
        <f t="shared" si="28"/>
        <v>-19.756666666666668</v>
      </c>
      <c r="P204" s="41"/>
      <c r="Q204" s="41"/>
      <c r="R204" s="41">
        <f t="shared" si="32"/>
        <v>-511.21984140374553</v>
      </c>
      <c r="S204" s="11"/>
    </row>
    <row r="205" spans="1:19" hidden="1" x14ac:dyDescent="0.25">
      <c r="A205" s="20" t="s">
        <v>23</v>
      </c>
      <c r="B205" s="12" t="s">
        <v>27</v>
      </c>
      <c r="C205" s="12" t="s">
        <v>392</v>
      </c>
      <c r="D205" s="24">
        <v>45887</v>
      </c>
      <c r="E205" s="12">
        <v>2</v>
      </c>
      <c r="F205" s="13" t="s">
        <v>48</v>
      </c>
      <c r="G205" s="12" t="s">
        <v>71</v>
      </c>
      <c r="H205" s="12">
        <v>72</v>
      </c>
      <c r="I205" s="12" t="s">
        <v>72</v>
      </c>
      <c r="J205" s="40">
        <f t="shared" si="29"/>
        <v>72</v>
      </c>
      <c r="K205" s="40">
        <f t="shared" si="30"/>
        <v>19.756666666666668</v>
      </c>
      <c r="L205" s="40">
        <f t="shared" si="31"/>
        <v>52.243333333333332</v>
      </c>
      <c r="M205" s="40"/>
      <c r="N205" s="40">
        <f t="shared" si="27"/>
        <v>19.756666666666668</v>
      </c>
      <c r="O205" s="40">
        <f t="shared" si="28"/>
        <v>-19.756666666666668</v>
      </c>
      <c r="P205" s="40"/>
      <c r="Q205" s="40"/>
      <c r="R205" s="40">
        <f t="shared" si="32"/>
        <v>-364.43394634722455</v>
      </c>
      <c r="S205" s="61"/>
    </row>
    <row r="206" spans="1:19" hidden="1" x14ac:dyDescent="0.25">
      <c r="A206" s="5" t="s">
        <v>23</v>
      </c>
      <c r="B206" s="9" t="s">
        <v>27</v>
      </c>
      <c r="C206" s="9" t="s">
        <v>393</v>
      </c>
      <c r="D206" s="22">
        <v>45887</v>
      </c>
      <c r="E206" s="9">
        <v>2</v>
      </c>
      <c r="F206" s="10" t="s">
        <v>49</v>
      </c>
      <c r="G206" s="9" t="s">
        <v>71</v>
      </c>
      <c r="H206" s="9">
        <v>40</v>
      </c>
      <c r="I206" s="9" t="s">
        <v>73</v>
      </c>
      <c r="J206" s="38">
        <f t="shared" si="29"/>
        <v>40</v>
      </c>
      <c r="K206" s="38">
        <f t="shared" si="30"/>
        <v>19.756666666666668</v>
      </c>
      <c r="L206" s="38">
        <f t="shared" si="31"/>
        <v>20.243333333333332</v>
      </c>
      <c r="M206" s="38"/>
      <c r="N206" s="38">
        <f t="shared" si="27"/>
        <v>19.756666666666668</v>
      </c>
      <c r="O206" s="38">
        <f t="shared" si="28"/>
        <v>-19.756666666666668</v>
      </c>
      <c r="P206" s="38"/>
      <c r="Q206" s="38"/>
      <c r="R206" s="38">
        <f t="shared" si="32"/>
        <v>-202.46330352623585</v>
      </c>
      <c r="S206" s="31"/>
    </row>
    <row r="207" spans="1:19" hidden="1" x14ac:dyDescent="0.25">
      <c r="A207" s="5" t="s">
        <v>23</v>
      </c>
      <c r="B207" s="9" t="s">
        <v>27</v>
      </c>
      <c r="C207" s="9" t="s">
        <v>394</v>
      </c>
      <c r="D207" s="22">
        <v>45887</v>
      </c>
      <c r="E207" s="9">
        <v>2</v>
      </c>
      <c r="F207" s="10" t="s">
        <v>50</v>
      </c>
      <c r="G207" s="9" t="s">
        <v>74</v>
      </c>
      <c r="H207" s="9">
        <v>110</v>
      </c>
      <c r="I207" s="9" t="s">
        <v>75</v>
      </c>
      <c r="J207" s="38">
        <f t="shared" si="29"/>
        <v>110</v>
      </c>
      <c r="K207" s="38">
        <f t="shared" si="30"/>
        <v>19.756666666666668</v>
      </c>
      <c r="L207" s="38">
        <f t="shared" si="31"/>
        <v>90.243333333333339</v>
      </c>
      <c r="M207" s="38"/>
      <c r="N207" s="38">
        <f t="shared" si="27"/>
        <v>19.756666666666668</v>
      </c>
      <c r="O207" s="38">
        <f t="shared" si="28"/>
        <v>-19.756666666666668</v>
      </c>
      <c r="P207" s="38"/>
      <c r="Q207" s="38"/>
      <c r="R207" s="38">
        <f t="shared" si="32"/>
        <v>-556.77408469714862</v>
      </c>
      <c r="S207" s="31"/>
    </row>
    <row r="208" spans="1:19" hidden="1" x14ac:dyDescent="0.25">
      <c r="A208" s="5" t="s">
        <v>23</v>
      </c>
      <c r="B208" s="9" t="s">
        <v>27</v>
      </c>
      <c r="C208" s="9" t="s">
        <v>395</v>
      </c>
      <c r="D208" s="22">
        <v>45887</v>
      </c>
      <c r="E208" s="9">
        <v>2</v>
      </c>
      <c r="F208" s="10" t="s">
        <v>51</v>
      </c>
      <c r="G208" s="9" t="s">
        <v>71</v>
      </c>
      <c r="H208" s="9">
        <v>101</v>
      </c>
      <c r="I208" s="9" t="s">
        <v>76</v>
      </c>
      <c r="J208" s="38">
        <f t="shared" si="29"/>
        <v>101</v>
      </c>
      <c r="K208" s="38">
        <f t="shared" si="30"/>
        <v>19.756666666666668</v>
      </c>
      <c r="L208" s="38">
        <f t="shared" si="31"/>
        <v>81.243333333333339</v>
      </c>
      <c r="M208" s="38"/>
      <c r="N208" s="38">
        <f t="shared" si="27"/>
        <v>19.756666666666668</v>
      </c>
      <c r="O208" s="38">
        <f t="shared" si="28"/>
        <v>-19.756666666666668</v>
      </c>
      <c r="P208" s="38"/>
      <c r="Q208" s="38"/>
      <c r="R208" s="38">
        <f t="shared" si="32"/>
        <v>-511.21984140374553</v>
      </c>
      <c r="S208" s="9"/>
    </row>
    <row r="209" spans="1:19" hidden="1" x14ac:dyDescent="0.25">
      <c r="A209" s="5" t="s">
        <v>23</v>
      </c>
      <c r="B209" s="9" t="s">
        <v>27</v>
      </c>
      <c r="C209" s="9" t="s">
        <v>396</v>
      </c>
      <c r="D209" s="22">
        <v>45887</v>
      </c>
      <c r="E209" s="9">
        <v>2</v>
      </c>
      <c r="F209" s="10" t="s">
        <v>52</v>
      </c>
      <c r="G209" s="9" t="s">
        <v>74</v>
      </c>
      <c r="H209" s="9">
        <v>133</v>
      </c>
      <c r="I209" s="9" t="s">
        <v>77</v>
      </c>
      <c r="J209" s="38">
        <f t="shared" si="29"/>
        <v>133</v>
      </c>
      <c r="K209" s="38">
        <f t="shared" si="30"/>
        <v>19.756666666666668</v>
      </c>
      <c r="L209" s="38">
        <f t="shared" si="31"/>
        <v>113.24333333333334</v>
      </c>
      <c r="M209" s="38"/>
      <c r="N209" s="38">
        <f t="shared" si="27"/>
        <v>19.756666666666668</v>
      </c>
      <c r="O209" s="38">
        <f t="shared" si="28"/>
        <v>-19.756666666666668</v>
      </c>
      <c r="P209" s="38"/>
      <c r="Q209" s="38"/>
      <c r="R209" s="38">
        <f t="shared" si="32"/>
        <v>-673.19048422473418</v>
      </c>
      <c r="S209" s="9"/>
    </row>
    <row r="210" spans="1:19" hidden="1" x14ac:dyDescent="0.25">
      <c r="A210" s="5" t="s">
        <v>23</v>
      </c>
      <c r="B210" s="9" t="s">
        <v>27</v>
      </c>
      <c r="C210" s="9" t="s">
        <v>397</v>
      </c>
      <c r="D210" s="22">
        <v>45887</v>
      </c>
      <c r="E210" s="9">
        <v>2</v>
      </c>
      <c r="F210" s="10" t="s">
        <v>53</v>
      </c>
      <c r="G210" s="9" t="s">
        <v>74</v>
      </c>
      <c r="H210" s="9">
        <v>101</v>
      </c>
      <c r="I210" s="9" t="s">
        <v>78</v>
      </c>
      <c r="J210" s="38">
        <f t="shared" si="29"/>
        <v>101</v>
      </c>
      <c r="K210" s="38">
        <f t="shared" si="30"/>
        <v>19.756666666666668</v>
      </c>
      <c r="L210" s="38">
        <f t="shared" si="31"/>
        <v>81.243333333333339</v>
      </c>
      <c r="M210" s="38"/>
      <c r="N210" s="38">
        <f t="shared" si="27"/>
        <v>19.756666666666668</v>
      </c>
      <c r="O210" s="38">
        <f t="shared" si="28"/>
        <v>-19.756666666666668</v>
      </c>
      <c r="P210" s="38"/>
      <c r="Q210" s="38"/>
      <c r="R210" s="38">
        <f t="shared" si="32"/>
        <v>-511.21984140374553</v>
      </c>
      <c r="S210" s="9"/>
    </row>
    <row r="211" spans="1:19" hidden="1" x14ac:dyDescent="0.25">
      <c r="A211" s="5" t="s">
        <v>23</v>
      </c>
      <c r="B211" s="9" t="s">
        <v>27</v>
      </c>
      <c r="C211" s="9" t="s">
        <v>398</v>
      </c>
      <c r="D211" s="22">
        <v>45887</v>
      </c>
      <c r="E211" s="9">
        <v>2</v>
      </c>
      <c r="F211" s="10" t="s">
        <v>54</v>
      </c>
      <c r="G211" s="9" t="s">
        <v>74</v>
      </c>
      <c r="H211" s="9">
        <v>120</v>
      </c>
      <c r="I211" s="9" t="s">
        <v>79</v>
      </c>
      <c r="J211" s="38">
        <f t="shared" si="29"/>
        <v>120</v>
      </c>
      <c r="K211" s="38">
        <f t="shared" si="30"/>
        <v>19.756666666666668</v>
      </c>
      <c r="L211" s="38">
        <f t="shared" si="31"/>
        <v>100.24333333333334</v>
      </c>
      <c r="M211" s="38"/>
      <c r="N211" s="38">
        <f t="shared" si="27"/>
        <v>19.756666666666668</v>
      </c>
      <c r="O211" s="38">
        <f t="shared" si="28"/>
        <v>-19.756666666666668</v>
      </c>
      <c r="P211" s="38"/>
      <c r="Q211" s="38"/>
      <c r="R211" s="38">
        <f t="shared" si="32"/>
        <v>-607.3899105787076</v>
      </c>
      <c r="S211" s="9"/>
    </row>
    <row r="212" spans="1:19" hidden="1" x14ac:dyDescent="0.25">
      <c r="A212" s="5" t="s">
        <v>23</v>
      </c>
      <c r="B212" s="9" t="s">
        <v>27</v>
      </c>
      <c r="C212" s="9" t="s">
        <v>399</v>
      </c>
      <c r="D212" s="22">
        <v>45887</v>
      </c>
      <c r="E212" s="9">
        <v>2</v>
      </c>
      <c r="F212" s="10" t="s">
        <v>55</v>
      </c>
      <c r="G212" s="9" t="s">
        <v>74</v>
      </c>
      <c r="H212" s="9">
        <v>126</v>
      </c>
      <c r="I212" s="9" t="s">
        <v>80</v>
      </c>
      <c r="J212" s="38">
        <f t="shared" si="29"/>
        <v>126</v>
      </c>
      <c r="K212" s="38">
        <f t="shared" si="30"/>
        <v>19.756666666666668</v>
      </c>
      <c r="L212" s="38">
        <f t="shared" si="31"/>
        <v>106.24333333333334</v>
      </c>
      <c r="M212" s="38"/>
      <c r="N212" s="38">
        <f t="shared" si="27"/>
        <v>19.756666666666668</v>
      </c>
      <c r="O212" s="38">
        <f t="shared" si="28"/>
        <v>-19.756666666666668</v>
      </c>
      <c r="P212" s="38"/>
      <c r="Q212" s="38"/>
      <c r="R212" s="38">
        <f t="shared" si="32"/>
        <v>-637.75940610764292</v>
      </c>
      <c r="S212" s="9"/>
    </row>
    <row r="213" spans="1:19" hidden="1" x14ac:dyDescent="0.25">
      <c r="A213" s="5" t="s">
        <v>23</v>
      </c>
      <c r="B213" s="9" t="s">
        <v>27</v>
      </c>
      <c r="C213" s="9" t="s">
        <v>400</v>
      </c>
      <c r="D213" s="22">
        <v>45887</v>
      </c>
      <c r="E213" s="9">
        <v>2</v>
      </c>
      <c r="F213" s="10" t="s">
        <v>56</v>
      </c>
      <c r="G213" s="9" t="s">
        <v>74</v>
      </c>
      <c r="H213" s="9">
        <v>97</v>
      </c>
      <c r="I213" s="9" t="s">
        <v>81</v>
      </c>
      <c r="J213" s="38">
        <f t="shared" si="29"/>
        <v>97</v>
      </c>
      <c r="K213" s="38">
        <f t="shared" si="30"/>
        <v>19.756666666666668</v>
      </c>
      <c r="L213" s="38">
        <f t="shared" si="31"/>
        <v>77.243333333333339</v>
      </c>
      <c r="M213" s="38"/>
      <c r="N213" s="38">
        <f t="shared" si="27"/>
        <v>19.756666666666668</v>
      </c>
      <c r="O213" s="38">
        <f t="shared" si="28"/>
        <v>-19.756666666666668</v>
      </c>
      <c r="P213" s="38"/>
      <c r="Q213" s="38"/>
      <c r="R213" s="38">
        <f t="shared" si="32"/>
        <v>-490.97351105112193</v>
      </c>
      <c r="S213" s="9"/>
    </row>
    <row r="214" spans="1:19" hidden="1" x14ac:dyDescent="0.25">
      <c r="A214" s="5" t="s">
        <v>23</v>
      </c>
      <c r="B214" s="9" t="s">
        <v>27</v>
      </c>
      <c r="C214" s="9" t="s">
        <v>32</v>
      </c>
      <c r="D214" s="22">
        <v>45887</v>
      </c>
      <c r="E214" s="9">
        <v>2</v>
      </c>
      <c r="F214" s="10" t="s">
        <v>57</v>
      </c>
      <c r="G214" s="9" t="s">
        <v>74</v>
      </c>
      <c r="H214" s="9">
        <v>105</v>
      </c>
      <c r="I214" s="9" t="s">
        <v>82</v>
      </c>
      <c r="J214" s="38">
        <f t="shared" si="29"/>
        <v>105</v>
      </c>
      <c r="K214" s="38">
        <f t="shared" si="30"/>
        <v>19.756666666666668</v>
      </c>
      <c r="L214" s="38">
        <f t="shared" si="31"/>
        <v>85.243333333333339</v>
      </c>
      <c r="M214" s="38"/>
      <c r="N214" s="38">
        <f t="shared" si="27"/>
        <v>19.756666666666668</v>
      </c>
      <c r="O214" s="38">
        <f t="shared" si="28"/>
        <v>-19.756666666666668</v>
      </c>
      <c r="P214" s="38"/>
      <c r="Q214" s="38"/>
      <c r="R214" s="38">
        <f t="shared" si="32"/>
        <v>-531.46617175636914</v>
      </c>
      <c r="S214" s="9"/>
    </row>
    <row r="215" spans="1:19" hidden="1" x14ac:dyDescent="0.25">
      <c r="A215" s="5" t="s">
        <v>23</v>
      </c>
      <c r="B215" s="9" t="s">
        <v>27</v>
      </c>
      <c r="C215" s="9" t="s">
        <v>33</v>
      </c>
      <c r="D215" s="22">
        <v>45887</v>
      </c>
      <c r="E215" s="9">
        <v>1</v>
      </c>
      <c r="F215" s="10" t="s">
        <v>58</v>
      </c>
      <c r="G215" s="9" t="s">
        <v>71</v>
      </c>
      <c r="H215" s="9">
        <v>68</v>
      </c>
      <c r="I215" s="9" t="s">
        <v>83</v>
      </c>
      <c r="J215" s="38">
        <f t="shared" si="29"/>
        <v>68</v>
      </c>
      <c r="K215" s="38">
        <f t="shared" si="30"/>
        <v>19.756666666666668</v>
      </c>
      <c r="L215" s="38">
        <f t="shared" si="31"/>
        <v>48.243333333333332</v>
      </c>
      <c r="M215" s="38"/>
      <c r="N215" s="38">
        <f t="shared" si="27"/>
        <v>19.756666666666668</v>
      </c>
      <c r="O215" s="38">
        <f t="shared" si="28"/>
        <v>-19.756666666666668</v>
      </c>
      <c r="P215" s="38"/>
      <c r="Q215" s="38"/>
      <c r="R215" s="38">
        <f t="shared" si="32"/>
        <v>-344.18761599460095</v>
      </c>
      <c r="S215" s="9"/>
    </row>
    <row r="216" spans="1:19" hidden="1" x14ac:dyDescent="0.25">
      <c r="A216" s="5" t="s">
        <v>23</v>
      </c>
      <c r="B216" s="9" t="s">
        <v>27</v>
      </c>
      <c r="C216" s="9" t="s">
        <v>34</v>
      </c>
      <c r="D216" s="22">
        <v>45887</v>
      </c>
      <c r="E216" s="9">
        <v>1</v>
      </c>
      <c r="F216" s="10" t="s">
        <v>59</v>
      </c>
      <c r="G216" s="9" t="s">
        <v>74</v>
      </c>
      <c r="H216" s="9">
        <v>71</v>
      </c>
      <c r="I216" s="9" t="s">
        <v>84</v>
      </c>
      <c r="J216" s="38">
        <f t="shared" si="29"/>
        <v>71</v>
      </c>
      <c r="K216" s="38">
        <f t="shared" si="30"/>
        <v>19.756666666666668</v>
      </c>
      <c r="L216" s="38">
        <f t="shared" si="31"/>
        <v>51.243333333333332</v>
      </c>
      <c r="M216" s="38"/>
      <c r="N216" s="38">
        <f t="shared" si="27"/>
        <v>19.756666666666668</v>
      </c>
      <c r="O216" s="38">
        <f t="shared" si="28"/>
        <v>-19.756666666666668</v>
      </c>
      <c r="P216" s="38"/>
      <c r="Q216" s="38"/>
      <c r="R216" s="38">
        <f t="shared" si="32"/>
        <v>-359.37236375906866</v>
      </c>
      <c r="S216" s="9"/>
    </row>
    <row r="217" spans="1:19" hidden="1" x14ac:dyDescent="0.25">
      <c r="A217" s="5" t="s">
        <v>23</v>
      </c>
      <c r="B217" s="9" t="s">
        <v>27</v>
      </c>
      <c r="C217" s="9" t="s">
        <v>35</v>
      </c>
      <c r="D217" s="22">
        <v>45887</v>
      </c>
      <c r="E217" s="9">
        <v>1</v>
      </c>
      <c r="F217" s="10" t="s">
        <v>60</v>
      </c>
      <c r="G217" s="9" t="s">
        <v>85</v>
      </c>
      <c r="H217" s="9">
        <v>71</v>
      </c>
      <c r="I217" s="9" t="s">
        <v>86</v>
      </c>
      <c r="J217" s="38">
        <f t="shared" si="29"/>
        <v>71</v>
      </c>
      <c r="K217" s="38">
        <f t="shared" si="30"/>
        <v>19.756666666666668</v>
      </c>
      <c r="L217" s="38">
        <f t="shared" si="31"/>
        <v>51.243333333333332</v>
      </c>
      <c r="M217" s="38"/>
      <c r="N217" s="38">
        <f t="shared" si="27"/>
        <v>19.756666666666668</v>
      </c>
      <c r="O217" s="38">
        <f t="shared" si="28"/>
        <v>-19.756666666666668</v>
      </c>
      <c r="P217" s="38"/>
      <c r="Q217" s="38"/>
      <c r="R217" s="38">
        <f t="shared" si="32"/>
        <v>-359.37236375906866</v>
      </c>
      <c r="S217" s="9"/>
    </row>
    <row r="218" spans="1:19" hidden="1" x14ac:dyDescent="0.25">
      <c r="A218" s="5" t="s">
        <v>23</v>
      </c>
      <c r="B218" s="9" t="s">
        <v>27</v>
      </c>
      <c r="C218" s="9" t="s">
        <v>36</v>
      </c>
      <c r="D218" s="22">
        <v>45887</v>
      </c>
      <c r="E218" s="9">
        <v>1</v>
      </c>
      <c r="F218" s="10" t="s">
        <v>61</v>
      </c>
      <c r="G218" s="9" t="s">
        <v>74</v>
      </c>
      <c r="H218" s="9">
        <v>67</v>
      </c>
      <c r="I218" s="9" t="s">
        <v>87</v>
      </c>
      <c r="J218" s="38">
        <f t="shared" si="29"/>
        <v>67</v>
      </c>
      <c r="K218" s="38">
        <f t="shared" si="30"/>
        <v>19.756666666666668</v>
      </c>
      <c r="L218" s="38">
        <f t="shared" si="31"/>
        <v>47.243333333333332</v>
      </c>
      <c r="M218" s="38"/>
      <c r="N218" s="38">
        <f t="shared" si="27"/>
        <v>19.756666666666668</v>
      </c>
      <c r="O218" s="38">
        <f t="shared" si="28"/>
        <v>-19.756666666666668</v>
      </c>
      <c r="P218" s="38"/>
      <c r="Q218" s="38"/>
      <c r="R218" s="38">
        <f t="shared" si="32"/>
        <v>-339.12603340644506</v>
      </c>
      <c r="S218" s="9"/>
    </row>
    <row r="219" spans="1:19" hidden="1" x14ac:dyDescent="0.25">
      <c r="A219" s="5" t="s">
        <v>23</v>
      </c>
      <c r="B219" s="9" t="s">
        <v>27</v>
      </c>
      <c r="C219" s="9" t="s">
        <v>37</v>
      </c>
      <c r="D219" s="22">
        <v>45887</v>
      </c>
      <c r="E219" s="9">
        <v>1</v>
      </c>
      <c r="F219" s="10" t="s">
        <v>62</v>
      </c>
      <c r="G219" s="9" t="s">
        <v>74</v>
      </c>
      <c r="H219" s="9">
        <v>97</v>
      </c>
      <c r="I219" s="9" t="s">
        <v>88</v>
      </c>
      <c r="J219" s="38">
        <f t="shared" si="29"/>
        <v>97</v>
      </c>
      <c r="K219" s="38">
        <f t="shared" si="30"/>
        <v>19.756666666666668</v>
      </c>
      <c r="L219" s="38">
        <f t="shared" si="31"/>
        <v>77.243333333333339</v>
      </c>
      <c r="M219" s="38"/>
      <c r="N219" s="38">
        <f t="shared" si="27"/>
        <v>19.756666666666668</v>
      </c>
      <c r="O219" s="38">
        <f t="shared" si="28"/>
        <v>-19.756666666666668</v>
      </c>
      <c r="P219" s="38"/>
      <c r="Q219" s="38"/>
      <c r="R219" s="38">
        <f t="shared" si="32"/>
        <v>-490.97351105112193</v>
      </c>
      <c r="S219" s="9"/>
    </row>
    <row r="220" spans="1:19" hidden="1" x14ac:dyDescent="0.25">
      <c r="A220" s="5" t="s">
        <v>23</v>
      </c>
      <c r="B220" s="9" t="s">
        <v>27</v>
      </c>
      <c r="C220" s="9" t="s">
        <v>38</v>
      </c>
      <c r="D220" s="22">
        <v>45887</v>
      </c>
      <c r="E220" s="9">
        <v>1</v>
      </c>
      <c r="F220" s="10" t="s">
        <v>63</v>
      </c>
      <c r="G220" s="9" t="s">
        <v>74</v>
      </c>
      <c r="H220" s="9">
        <v>65</v>
      </c>
      <c r="I220" s="9" t="s">
        <v>89</v>
      </c>
      <c r="J220" s="38">
        <f t="shared" si="29"/>
        <v>65</v>
      </c>
      <c r="K220" s="38">
        <f t="shared" si="30"/>
        <v>19.756666666666668</v>
      </c>
      <c r="L220" s="38">
        <f t="shared" si="31"/>
        <v>45.243333333333332</v>
      </c>
      <c r="M220" s="38"/>
      <c r="N220" s="38">
        <f t="shared" si="27"/>
        <v>19.756666666666668</v>
      </c>
      <c r="O220" s="38">
        <f t="shared" si="28"/>
        <v>-19.756666666666668</v>
      </c>
      <c r="P220" s="38"/>
      <c r="Q220" s="38"/>
      <c r="R220" s="38">
        <f t="shared" si="32"/>
        <v>-329.00286823013329</v>
      </c>
      <c r="S220" s="9"/>
    </row>
    <row r="221" spans="1:19" hidden="1" x14ac:dyDescent="0.25">
      <c r="A221" s="5" t="s">
        <v>23</v>
      </c>
      <c r="B221" s="9" t="s">
        <v>27</v>
      </c>
      <c r="C221" s="9" t="s">
        <v>39</v>
      </c>
      <c r="D221" s="22">
        <v>45887</v>
      </c>
      <c r="E221" s="9">
        <v>1</v>
      </c>
      <c r="F221" s="10" t="s">
        <v>64</v>
      </c>
      <c r="G221" s="9" t="s">
        <v>74</v>
      </c>
      <c r="H221" s="9">
        <v>75</v>
      </c>
      <c r="I221" s="9" t="s">
        <v>90</v>
      </c>
      <c r="J221" s="38">
        <f t="shared" si="29"/>
        <v>75</v>
      </c>
      <c r="K221" s="38">
        <f t="shared" si="30"/>
        <v>19.756666666666668</v>
      </c>
      <c r="L221" s="38">
        <f t="shared" si="31"/>
        <v>55.243333333333332</v>
      </c>
      <c r="M221" s="38"/>
      <c r="N221" s="38">
        <f t="shared" si="27"/>
        <v>19.756666666666668</v>
      </c>
      <c r="O221" s="38">
        <f t="shared" si="28"/>
        <v>-19.756666666666668</v>
      </c>
      <c r="P221" s="38"/>
      <c r="Q221" s="38"/>
      <c r="R221" s="38">
        <f t="shared" si="32"/>
        <v>-379.61869411169221</v>
      </c>
      <c r="S221" s="9"/>
    </row>
    <row r="222" spans="1:19" hidden="1" x14ac:dyDescent="0.25">
      <c r="A222" s="5" t="s">
        <v>23</v>
      </c>
      <c r="B222" s="9" t="s">
        <v>27</v>
      </c>
      <c r="C222" s="9" t="s">
        <v>40</v>
      </c>
      <c r="D222" s="22">
        <v>45887</v>
      </c>
      <c r="E222" s="9">
        <v>1</v>
      </c>
      <c r="F222" s="10" t="s">
        <v>65</v>
      </c>
      <c r="G222" s="9" t="s">
        <v>74</v>
      </c>
      <c r="H222" s="9">
        <v>64</v>
      </c>
      <c r="I222" s="9" t="s">
        <v>91</v>
      </c>
      <c r="J222" s="38">
        <f t="shared" si="29"/>
        <v>64</v>
      </c>
      <c r="K222" s="38">
        <f t="shared" si="30"/>
        <v>19.756666666666668</v>
      </c>
      <c r="L222" s="38">
        <f t="shared" si="31"/>
        <v>44.243333333333332</v>
      </c>
      <c r="M222" s="38"/>
      <c r="N222" s="38">
        <f t="shared" si="27"/>
        <v>19.756666666666668</v>
      </c>
      <c r="O222" s="38">
        <f t="shared" si="28"/>
        <v>-19.756666666666668</v>
      </c>
      <c r="P222" s="38"/>
      <c r="Q222" s="38"/>
      <c r="R222" s="38">
        <f t="shared" si="32"/>
        <v>-323.9412856419774</v>
      </c>
      <c r="S222" s="9"/>
    </row>
    <row r="223" spans="1:19" hidden="1" x14ac:dyDescent="0.25">
      <c r="A223" s="5" t="s">
        <v>23</v>
      </c>
      <c r="B223" s="9" t="s">
        <v>27</v>
      </c>
      <c r="C223" s="9" t="s">
        <v>41</v>
      </c>
      <c r="D223" s="22">
        <v>45887</v>
      </c>
      <c r="E223" s="9">
        <v>1</v>
      </c>
      <c r="F223" s="10" t="s">
        <v>66</v>
      </c>
      <c r="G223" s="9" t="s">
        <v>74</v>
      </c>
      <c r="H223" s="9">
        <v>64</v>
      </c>
      <c r="I223" s="9" t="s">
        <v>91</v>
      </c>
      <c r="J223" s="38">
        <f t="shared" si="29"/>
        <v>64</v>
      </c>
      <c r="K223" s="38">
        <f t="shared" si="30"/>
        <v>19.756666666666668</v>
      </c>
      <c r="L223" s="38">
        <f t="shared" si="31"/>
        <v>44.243333333333332</v>
      </c>
      <c r="M223" s="38"/>
      <c r="N223" s="38">
        <f t="shared" si="27"/>
        <v>19.756666666666668</v>
      </c>
      <c r="O223" s="38">
        <f t="shared" si="28"/>
        <v>-19.756666666666668</v>
      </c>
      <c r="P223" s="38"/>
      <c r="Q223" s="38"/>
      <c r="R223" s="38">
        <f t="shared" si="32"/>
        <v>-323.9412856419774</v>
      </c>
      <c r="S223" s="31"/>
    </row>
    <row r="224" spans="1:19" hidden="1" x14ac:dyDescent="0.25">
      <c r="A224" s="33" t="s">
        <v>23</v>
      </c>
      <c r="B224" s="21" t="s">
        <v>27</v>
      </c>
      <c r="C224" s="21" t="s">
        <v>42</v>
      </c>
      <c r="D224" s="42">
        <v>45887</v>
      </c>
      <c r="E224" s="21">
        <v>1</v>
      </c>
      <c r="F224" s="34" t="s">
        <v>67</v>
      </c>
      <c r="G224" s="21" t="s">
        <v>71</v>
      </c>
      <c r="H224" s="21">
        <v>72</v>
      </c>
      <c r="I224" s="21" t="s">
        <v>91</v>
      </c>
      <c r="J224" s="43">
        <f t="shared" si="29"/>
        <v>72</v>
      </c>
      <c r="K224" s="43">
        <f t="shared" si="30"/>
        <v>19.756666666666668</v>
      </c>
      <c r="L224" s="43">
        <f t="shared" si="31"/>
        <v>52.243333333333332</v>
      </c>
      <c r="M224" s="43"/>
      <c r="N224" s="43">
        <f t="shared" si="27"/>
        <v>19.756666666666668</v>
      </c>
      <c r="O224" s="43">
        <f t="shared" si="28"/>
        <v>-19.756666666666668</v>
      </c>
      <c r="P224" s="43"/>
      <c r="Q224" s="43"/>
      <c r="R224" s="43">
        <f t="shared" si="32"/>
        <v>-364.43394634722455</v>
      </c>
      <c r="S224" s="21"/>
    </row>
    <row r="225" spans="1:19" s="49" customFormat="1" ht="15.75" hidden="1" thickBot="1" x14ac:dyDescent="0.3">
      <c r="A225" s="44" t="s">
        <v>23</v>
      </c>
      <c r="B225" s="45" t="s">
        <v>27</v>
      </c>
      <c r="C225" s="45" t="s">
        <v>43</v>
      </c>
      <c r="D225" s="46">
        <v>45887</v>
      </c>
      <c r="E225" s="58"/>
      <c r="F225" s="47" t="s">
        <v>2</v>
      </c>
      <c r="G225" s="45" t="s">
        <v>71</v>
      </c>
      <c r="H225" s="45">
        <v>182</v>
      </c>
      <c r="I225" s="45" t="s">
        <v>92</v>
      </c>
      <c r="J225" s="48">
        <f t="shared" si="29"/>
        <v>182</v>
      </c>
      <c r="K225" s="48">
        <f t="shared" si="30"/>
        <v>19.756666666666668</v>
      </c>
      <c r="L225" s="48">
        <f t="shared" si="31"/>
        <v>162.24333333333334</v>
      </c>
      <c r="M225" s="48"/>
      <c r="N225" s="48">
        <f t="shared" si="27"/>
        <v>19.756666666666668</v>
      </c>
      <c r="O225" s="48">
        <f t="shared" si="28"/>
        <v>-19.756666666666668</v>
      </c>
      <c r="P225" s="48"/>
      <c r="Q225" s="48"/>
      <c r="R225" s="48">
        <f t="shared" si="32"/>
        <v>-921.20803104437312</v>
      </c>
      <c r="S225" s="45" t="s">
        <v>382</v>
      </c>
    </row>
    <row r="226" spans="1:19" ht="30" x14ac:dyDescent="0.25">
      <c r="A226" s="20" t="s">
        <v>303</v>
      </c>
      <c r="B226" s="12" t="s">
        <v>31</v>
      </c>
      <c r="C226" s="12" t="s">
        <v>392</v>
      </c>
      <c r="D226" s="24">
        <v>45889</v>
      </c>
      <c r="E226" s="12">
        <v>2</v>
      </c>
      <c r="F226" s="13" t="s">
        <v>48</v>
      </c>
      <c r="G226" s="13" t="s">
        <v>116</v>
      </c>
      <c r="H226" s="12">
        <v>45</v>
      </c>
      <c r="I226" s="12" t="s">
        <v>363</v>
      </c>
      <c r="J226" s="40">
        <f t="shared" si="29"/>
        <v>45</v>
      </c>
      <c r="K226" s="40">
        <f t="shared" si="30"/>
        <v>19.756666666666668</v>
      </c>
      <c r="L226" s="40">
        <f t="shared" si="31"/>
        <v>25.243333333333332</v>
      </c>
      <c r="M226" s="40">
        <v>47.68</v>
      </c>
      <c r="N226" s="40">
        <f t="shared" si="27"/>
        <v>19.756666666666668</v>
      </c>
      <c r="O226" s="40">
        <f t="shared" si="28"/>
        <v>27.923333333333332</v>
      </c>
      <c r="P226" s="40"/>
      <c r="Q226" s="40"/>
      <c r="R226" s="40">
        <f t="shared" si="32"/>
        <v>-9.5977080100274552</v>
      </c>
      <c r="S226" s="12" t="s">
        <v>387</v>
      </c>
    </row>
    <row r="227" spans="1:19" ht="30" x14ac:dyDescent="0.25">
      <c r="A227" s="5" t="s">
        <v>303</v>
      </c>
      <c r="B227" s="9" t="s">
        <v>31</v>
      </c>
      <c r="C227" s="9" t="s">
        <v>393</v>
      </c>
      <c r="D227" s="22">
        <v>45889</v>
      </c>
      <c r="E227" s="9">
        <v>2</v>
      </c>
      <c r="F227" s="10" t="s">
        <v>49</v>
      </c>
      <c r="G227" s="10" t="s">
        <v>116</v>
      </c>
      <c r="H227" s="9">
        <v>45</v>
      </c>
      <c r="I227" s="9" t="s">
        <v>364</v>
      </c>
      <c r="J227" s="38">
        <f t="shared" si="29"/>
        <v>45</v>
      </c>
      <c r="K227" s="38">
        <f t="shared" si="30"/>
        <v>19.756666666666668</v>
      </c>
      <c r="L227" s="38">
        <f t="shared" si="31"/>
        <v>25.243333333333332</v>
      </c>
      <c r="M227" s="38">
        <v>46.38</v>
      </c>
      <c r="N227" s="38">
        <f t="shared" si="27"/>
        <v>19.756666666666668</v>
      </c>
      <c r="O227" s="38">
        <f t="shared" si="28"/>
        <v>26.623333333333335</v>
      </c>
      <c r="P227" s="38"/>
      <c r="Q227" s="38"/>
      <c r="R227" s="38">
        <f t="shared" si="32"/>
        <v>-5.1834230624765336</v>
      </c>
      <c r="S227" s="9" t="s">
        <v>387</v>
      </c>
    </row>
    <row r="228" spans="1:19" x14ac:dyDescent="0.25">
      <c r="A228" s="5" t="s">
        <v>303</v>
      </c>
      <c r="B228" s="9" t="s">
        <v>31</v>
      </c>
      <c r="C228" s="9" t="s">
        <v>394</v>
      </c>
      <c r="D228" s="22">
        <v>45889</v>
      </c>
      <c r="E228" s="9">
        <v>2</v>
      </c>
      <c r="F228" s="10" t="s">
        <v>50</v>
      </c>
      <c r="G228" s="10" t="s">
        <v>116</v>
      </c>
      <c r="H228" s="9">
        <v>93</v>
      </c>
      <c r="I228" s="9" t="s">
        <v>364</v>
      </c>
      <c r="J228" s="38">
        <f t="shared" ref="J228:J259" si="33">H228</f>
        <v>93</v>
      </c>
      <c r="K228" s="38">
        <f t="shared" ref="K228:K259" si="34">AVERAGE(19.9,19.77,19.6)</f>
        <v>19.756666666666668</v>
      </c>
      <c r="L228" s="38">
        <f t="shared" ref="L228:L259" si="35">J228-K228</f>
        <v>73.243333333333339</v>
      </c>
      <c r="M228" s="38">
        <v>86.46</v>
      </c>
      <c r="N228" s="38">
        <f t="shared" si="27"/>
        <v>19.756666666666668</v>
      </c>
      <c r="O228" s="38">
        <f t="shared" si="28"/>
        <v>66.703333333333319</v>
      </c>
      <c r="P228" s="38"/>
      <c r="Q228" s="38"/>
      <c r="R228" s="38">
        <f t="shared" ref="R228:R259" si="36">((L228-O228)/O228)*100</f>
        <v>9.8046074658937918</v>
      </c>
      <c r="S228" s="9"/>
    </row>
    <row r="229" spans="1:19" x14ac:dyDescent="0.25">
      <c r="A229" s="5" t="s">
        <v>303</v>
      </c>
      <c r="B229" s="9" t="s">
        <v>31</v>
      </c>
      <c r="C229" s="9" t="s">
        <v>395</v>
      </c>
      <c r="D229" s="22">
        <v>45889</v>
      </c>
      <c r="E229" s="9">
        <v>2</v>
      </c>
      <c r="F229" s="10" t="s">
        <v>51</v>
      </c>
      <c r="G229" s="10" t="s">
        <v>116</v>
      </c>
      <c r="H229" s="9">
        <v>121</v>
      </c>
      <c r="I229" s="9" t="s">
        <v>364</v>
      </c>
      <c r="J229" s="38">
        <f t="shared" si="33"/>
        <v>121</v>
      </c>
      <c r="K229" s="38">
        <f t="shared" si="34"/>
        <v>19.756666666666668</v>
      </c>
      <c r="L229" s="38">
        <f t="shared" si="35"/>
        <v>101.24333333333334</v>
      </c>
      <c r="M229" s="38">
        <v>110.74</v>
      </c>
      <c r="N229" s="38">
        <f t="shared" si="27"/>
        <v>19.756666666666668</v>
      </c>
      <c r="O229" s="38">
        <f t="shared" si="28"/>
        <v>90.98333333333332</v>
      </c>
      <c r="P229" s="38"/>
      <c r="Q229" s="38"/>
      <c r="R229" s="38">
        <f t="shared" si="36"/>
        <v>11.276790620992879</v>
      </c>
      <c r="S229" s="9"/>
    </row>
    <row r="230" spans="1:19" x14ac:dyDescent="0.25">
      <c r="A230" s="5" t="s">
        <v>303</v>
      </c>
      <c r="B230" s="9" t="s">
        <v>31</v>
      </c>
      <c r="C230" s="9" t="s">
        <v>396</v>
      </c>
      <c r="D230" s="22">
        <v>45889</v>
      </c>
      <c r="E230" s="9">
        <v>2</v>
      </c>
      <c r="F230" s="10" t="s">
        <v>52</v>
      </c>
      <c r="G230" s="10" t="s">
        <v>116</v>
      </c>
      <c r="H230" s="9">
        <v>117</v>
      </c>
      <c r="I230" s="9" t="s">
        <v>364</v>
      </c>
      <c r="J230" s="38">
        <f t="shared" si="33"/>
        <v>117</v>
      </c>
      <c r="K230" s="38">
        <f t="shared" si="34"/>
        <v>19.756666666666668</v>
      </c>
      <c r="L230" s="38">
        <f t="shared" si="35"/>
        <v>97.243333333333339</v>
      </c>
      <c r="M230" s="38">
        <v>101.12</v>
      </c>
      <c r="N230" s="38">
        <f t="shared" si="27"/>
        <v>19.756666666666668</v>
      </c>
      <c r="O230" s="38">
        <f t="shared" si="28"/>
        <v>81.363333333333344</v>
      </c>
      <c r="P230" s="38"/>
      <c r="Q230" s="38"/>
      <c r="R230" s="38">
        <f t="shared" si="36"/>
        <v>19.517391126223927</v>
      </c>
      <c r="S230" s="9"/>
    </row>
    <row r="231" spans="1:19" x14ac:dyDescent="0.25">
      <c r="A231" s="5" t="s">
        <v>303</v>
      </c>
      <c r="B231" s="9" t="s">
        <v>31</v>
      </c>
      <c r="C231" s="9" t="s">
        <v>397</v>
      </c>
      <c r="D231" s="22">
        <v>45889</v>
      </c>
      <c r="E231" s="9">
        <v>2</v>
      </c>
      <c r="F231" s="10" t="s">
        <v>53</v>
      </c>
      <c r="G231" s="10" t="s">
        <v>116</v>
      </c>
      <c r="H231" s="9">
        <v>138</v>
      </c>
      <c r="I231" s="9" t="s">
        <v>364</v>
      </c>
      <c r="J231" s="38">
        <f t="shared" si="33"/>
        <v>138</v>
      </c>
      <c r="K231" s="38">
        <f t="shared" si="34"/>
        <v>19.756666666666668</v>
      </c>
      <c r="L231" s="38">
        <f t="shared" si="35"/>
        <v>118.24333333333334</v>
      </c>
      <c r="M231" s="38">
        <v>119.18</v>
      </c>
      <c r="N231" s="38">
        <f t="shared" si="27"/>
        <v>19.756666666666668</v>
      </c>
      <c r="O231" s="38">
        <f t="shared" si="28"/>
        <v>99.423333333333346</v>
      </c>
      <c r="P231" s="38"/>
      <c r="Q231" s="38"/>
      <c r="R231" s="38">
        <f t="shared" si="36"/>
        <v>18.92915814530458</v>
      </c>
      <c r="S231" s="9"/>
    </row>
    <row r="232" spans="1:19" x14ac:dyDescent="0.25">
      <c r="A232" s="5" t="s">
        <v>303</v>
      </c>
      <c r="B232" s="9" t="s">
        <v>31</v>
      </c>
      <c r="C232" s="9" t="s">
        <v>398</v>
      </c>
      <c r="D232" s="22">
        <v>45889</v>
      </c>
      <c r="E232" s="9">
        <v>2</v>
      </c>
      <c r="F232" s="10" t="s">
        <v>54</v>
      </c>
      <c r="G232" s="10" t="s">
        <v>116</v>
      </c>
      <c r="H232" s="9">
        <v>122</v>
      </c>
      <c r="I232" s="9" t="s">
        <v>364</v>
      </c>
      <c r="J232" s="38">
        <f t="shared" si="33"/>
        <v>122</v>
      </c>
      <c r="K232" s="38">
        <f t="shared" si="34"/>
        <v>19.756666666666668</v>
      </c>
      <c r="L232" s="38">
        <f t="shared" si="35"/>
        <v>102.24333333333334</v>
      </c>
      <c r="M232" s="38">
        <v>104.19</v>
      </c>
      <c r="N232" s="38">
        <f t="shared" si="27"/>
        <v>19.756666666666668</v>
      </c>
      <c r="O232" s="38">
        <f t="shared" si="28"/>
        <v>84.433333333333337</v>
      </c>
      <c r="P232" s="38"/>
      <c r="Q232" s="38"/>
      <c r="R232" s="38">
        <f t="shared" si="36"/>
        <v>21.093564942755627</v>
      </c>
      <c r="S232" s="9"/>
    </row>
    <row r="233" spans="1:19" x14ac:dyDescent="0.25">
      <c r="A233" s="5" t="s">
        <v>303</v>
      </c>
      <c r="B233" s="9" t="s">
        <v>31</v>
      </c>
      <c r="C233" s="9" t="s">
        <v>399</v>
      </c>
      <c r="D233" s="22">
        <v>45889</v>
      </c>
      <c r="E233" s="9">
        <v>2</v>
      </c>
      <c r="F233" s="10" t="s">
        <v>55</v>
      </c>
      <c r="G233" s="10" t="s">
        <v>116</v>
      </c>
      <c r="H233" s="9">
        <v>117</v>
      </c>
      <c r="I233" s="9" t="s">
        <v>364</v>
      </c>
      <c r="J233" s="38">
        <f t="shared" si="33"/>
        <v>117</v>
      </c>
      <c r="K233" s="38">
        <f t="shared" si="34"/>
        <v>19.756666666666668</v>
      </c>
      <c r="L233" s="38">
        <f t="shared" si="35"/>
        <v>97.243333333333339</v>
      </c>
      <c r="M233" s="38">
        <v>102.03</v>
      </c>
      <c r="N233" s="38">
        <f t="shared" si="27"/>
        <v>19.756666666666668</v>
      </c>
      <c r="O233" s="38">
        <f t="shared" si="28"/>
        <v>82.273333333333341</v>
      </c>
      <c r="P233" s="38"/>
      <c r="Q233" s="38"/>
      <c r="R233" s="38">
        <f t="shared" si="36"/>
        <v>18.195446074062065</v>
      </c>
      <c r="S233" s="9"/>
    </row>
    <row r="234" spans="1:19" x14ac:dyDescent="0.25">
      <c r="A234" s="5" t="s">
        <v>303</v>
      </c>
      <c r="B234" s="9" t="s">
        <v>31</v>
      </c>
      <c r="C234" s="9" t="s">
        <v>400</v>
      </c>
      <c r="D234" s="22">
        <v>45889</v>
      </c>
      <c r="E234" s="9">
        <v>2</v>
      </c>
      <c r="F234" s="10" t="s">
        <v>56</v>
      </c>
      <c r="G234" s="10" t="s">
        <v>116</v>
      </c>
      <c r="H234" s="9">
        <v>133</v>
      </c>
      <c r="I234" s="9" t="s">
        <v>364</v>
      </c>
      <c r="J234" s="38">
        <f t="shared" si="33"/>
        <v>133</v>
      </c>
      <c r="K234" s="38">
        <f t="shared" si="34"/>
        <v>19.756666666666668</v>
      </c>
      <c r="L234" s="38">
        <f t="shared" si="35"/>
        <v>113.24333333333334</v>
      </c>
      <c r="M234" s="38">
        <v>114.14</v>
      </c>
      <c r="N234" s="38">
        <f t="shared" si="27"/>
        <v>19.756666666666668</v>
      </c>
      <c r="O234" s="38">
        <f t="shared" si="28"/>
        <v>94.383333333333326</v>
      </c>
      <c r="P234" s="38"/>
      <c r="Q234" s="38"/>
      <c r="R234" s="38">
        <f t="shared" si="36"/>
        <v>19.982341515098021</v>
      </c>
      <c r="S234" s="9"/>
    </row>
    <row r="235" spans="1:19" ht="30" x14ac:dyDescent="0.25">
      <c r="A235" s="5" t="s">
        <v>303</v>
      </c>
      <c r="B235" s="9" t="s">
        <v>31</v>
      </c>
      <c r="C235" s="9" t="s">
        <v>32</v>
      </c>
      <c r="D235" s="22">
        <v>45889</v>
      </c>
      <c r="E235" s="9">
        <v>2</v>
      </c>
      <c r="F235" s="10" t="s">
        <v>57</v>
      </c>
      <c r="G235" s="10" t="s">
        <v>116</v>
      </c>
      <c r="H235" s="9">
        <v>123</v>
      </c>
      <c r="I235" s="9" t="s">
        <v>365</v>
      </c>
      <c r="J235" s="38">
        <f t="shared" si="33"/>
        <v>123</v>
      </c>
      <c r="K235" s="38">
        <f t="shared" si="34"/>
        <v>19.756666666666668</v>
      </c>
      <c r="L235" s="38">
        <f t="shared" si="35"/>
        <v>103.24333333333334</v>
      </c>
      <c r="M235" s="38">
        <v>104.91</v>
      </c>
      <c r="N235" s="38">
        <f t="shared" si="27"/>
        <v>19.756666666666668</v>
      </c>
      <c r="O235" s="38">
        <f t="shared" si="28"/>
        <v>85.153333333333336</v>
      </c>
      <c r="P235" s="38"/>
      <c r="Q235" s="38"/>
      <c r="R235" s="38">
        <f t="shared" si="36"/>
        <v>21.244030376575594</v>
      </c>
      <c r="S235" s="9"/>
    </row>
    <row r="236" spans="1:19" x14ac:dyDescent="0.25">
      <c r="A236" s="5" t="s">
        <v>303</v>
      </c>
      <c r="B236" s="9" t="s">
        <v>31</v>
      </c>
      <c r="C236" s="9" t="s">
        <v>33</v>
      </c>
      <c r="D236" s="22">
        <v>45889</v>
      </c>
      <c r="E236" s="9">
        <v>1</v>
      </c>
      <c r="F236" s="10" t="s">
        <v>58</v>
      </c>
      <c r="G236" s="10" t="s">
        <v>85</v>
      </c>
      <c r="H236" s="9">
        <v>98</v>
      </c>
      <c r="I236" s="9" t="s">
        <v>367</v>
      </c>
      <c r="J236" s="38">
        <f t="shared" si="33"/>
        <v>98</v>
      </c>
      <c r="K236" s="38">
        <f t="shared" si="34"/>
        <v>19.756666666666668</v>
      </c>
      <c r="L236" s="38">
        <f t="shared" si="35"/>
        <v>78.243333333333339</v>
      </c>
      <c r="M236" s="38">
        <v>83.09</v>
      </c>
      <c r="N236" s="38">
        <f t="shared" si="27"/>
        <v>19.756666666666668</v>
      </c>
      <c r="O236" s="38">
        <f t="shared" si="28"/>
        <v>63.333333333333336</v>
      </c>
      <c r="P236" s="38"/>
      <c r="Q236" s="38"/>
      <c r="R236" s="38">
        <f t="shared" si="36"/>
        <v>23.5421052631579</v>
      </c>
      <c r="S236" s="9"/>
    </row>
    <row r="237" spans="1:19" x14ac:dyDescent="0.25">
      <c r="A237" s="5" t="s">
        <v>303</v>
      </c>
      <c r="B237" s="9" t="s">
        <v>31</v>
      </c>
      <c r="C237" s="9" t="s">
        <v>34</v>
      </c>
      <c r="D237" s="22">
        <v>45889</v>
      </c>
      <c r="E237" s="9">
        <v>1</v>
      </c>
      <c r="F237" s="10" t="s">
        <v>59</v>
      </c>
      <c r="G237" s="10" t="s">
        <v>85</v>
      </c>
      <c r="H237" s="9">
        <v>81</v>
      </c>
      <c r="I237" s="9" t="s">
        <v>368</v>
      </c>
      <c r="J237" s="38">
        <f t="shared" si="33"/>
        <v>81</v>
      </c>
      <c r="K237" s="38">
        <f t="shared" si="34"/>
        <v>19.756666666666668</v>
      </c>
      <c r="L237" s="38">
        <f t="shared" si="35"/>
        <v>61.243333333333332</v>
      </c>
      <c r="M237" s="38">
        <v>71.59</v>
      </c>
      <c r="N237" s="38">
        <f t="shared" si="27"/>
        <v>19.756666666666668</v>
      </c>
      <c r="O237" s="38">
        <f t="shared" si="28"/>
        <v>51.833333333333336</v>
      </c>
      <c r="P237" s="38"/>
      <c r="Q237" s="38"/>
      <c r="R237" s="38">
        <f t="shared" si="36"/>
        <v>18.154340836012857</v>
      </c>
      <c r="S237" s="9"/>
    </row>
    <row r="238" spans="1:19" x14ac:dyDescent="0.25">
      <c r="A238" s="5" t="s">
        <v>303</v>
      </c>
      <c r="B238" s="9" t="s">
        <v>31</v>
      </c>
      <c r="C238" s="9" t="s">
        <v>35</v>
      </c>
      <c r="D238" s="22">
        <v>45889</v>
      </c>
      <c r="E238" s="9">
        <v>1</v>
      </c>
      <c r="F238" s="10" t="s">
        <v>60</v>
      </c>
      <c r="G238" s="10" t="s">
        <v>85</v>
      </c>
      <c r="H238" s="9">
        <v>69</v>
      </c>
      <c r="I238" s="9" t="s">
        <v>368</v>
      </c>
      <c r="J238" s="38">
        <f t="shared" si="33"/>
        <v>69</v>
      </c>
      <c r="K238" s="38">
        <f t="shared" si="34"/>
        <v>19.756666666666668</v>
      </c>
      <c r="L238" s="38">
        <f t="shared" si="35"/>
        <v>49.243333333333332</v>
      </c>
      <c r="M238" s="38">
        <v>61.57</v>
      </c>
      <c r="N238" s="38">
        <f t="shared" si="27"/>
        <v>19.756666666666668</v>
      </c>
      <c r="O238" s="38">
        <f t="shared" si="28"/>
        <v>41.813333333333333</v>
      </c>
      <c r="P238" s="38"/>
      <c r="Q238" s="38"/>
      <c r="R238" s="38">
        <f t="shared" si="36"/>
        <v>17.769451530612244</v>
      </c>
      <c r="S238" s="9"/>
    </row>
    <row r="239" spans="1:19" ht="30" x14ac:dyDescent="0.25">
      <c r="A239" s="5" t="s">
        <v>303</v>
      </c>
      <c r="B239" s="9" t="s">
        <v>31</v>
      </c>
      <c r="C239" s="9" t="s">
        <v>36</v>
      </c>
      <c r="D239" s="22">
        <v>45889</v>
      </c>
      <c r="E239" s="9">
        <v>1</v>
      </c>
      <c r="F239" s="10" t="s">
        <v>61</v>
      </c>
      <c r="G239" s="10" t="s">
        <v>85</v>
      </c>
      <c r="H239" s="9">
        <v>61</v>
      </c>
      <c r="I239" s="9" t="s">
        <v>369</v>
      </c>
      <c r="J239" s="38">
        <f t="shared" si="33"/>
        <v>61</v>
      </c>
      <c r="K239" s="38">
        <f t="shared" si="34"/>
        <v>19.756666666666668</v>
      </c>
      <c r="L239" s="38">
        <f t="shared" si="35"/>
        <v>41.243333333333332</v>
      </c>
      <c r="M239" s="38">
        <v>56.35</v>
      </c>
      <c r="N239" s="38">
        <f t="shared" si="27"/>
        <v>19.756666666666668</v>
      </c>
      <c r="O239" s="38">
        <f t="shared" si="28"/>
        <v>36.593333333333334</v>
      </c>
      <c r="P239" s="38"/>
      <c r="Q239" s="38"/>
      <c r="R239" s="38">
        <f t="shared" si="36"/>
        <v>12.707232647112402</v>
      </c>
      <c r="S239" s="9"/>
    </row>
    <row r="240" spans="1:19" ht="30" x14ac:dyDescent="0.25">
      <c r="A240" s="5" t="s">
        <v>303</v>
      </c>
      <c r="B240" s="9" t="s">
        <v>31</v>
      </c>
      <c r="C240" s="9" t="s">
        <v>37</v>
      </c>
      <c r="D240" s="22">
        <v>45889</v>
      </c>
      <c r="E240" s="9">
        <v>1</v>
      </c>
      <c r="F240" s="10" t="s">
        <v>62</v>
      </c>
      <c r="G240" s="10" t="s">
        <v>85</v>
      </c>
      <c r="H240" s="9">
        <v>73</v>
      </c>
      <c r="I240" s="9" t="s">
        <v>369</v>
      </c>
      <c r="J240" s="38">
        <f t="shared" si="33"/>
        <v>73</v>
      </c>
      <c r="K240" s="38">
        <f t="shared" si="34"/>
        <v>19.756666666666668</v>
      </c>
      <c r="L240" s="38">
        <f t="shared" si="35"/>
        <v>53.243333333333332</v>
      </c>
      <c r="M240" s="38">
        <v>63.63</v>
      </c>
      <c r="N240" s="38">
        <f t="shared" si="27"/>
        <v>19.756666666666668</v>
      </c>
      <c r="O240" s="38">
        <f t="shared" si="28"/>
        <v>43.873333333333335</v>
      </c>
      <c r="P240" s="38"/>
      <c r="Q240" s="38"/>
      <c r="R240" s="38">
        <f t="shared" si="36"/>
        <v>21.356936635769632</v>
      </c>
      <c r="S240" s="9"/>
    </row>
    <row r="241" spans="1:19" ht="30" x14ac:dyDescent="0.25">
      <c r="A241" s="5" t="s">
        <v>303</v>
      </c>
      <c r="B241" s="9" t="s">
        <v>31</v>
      </c>
      <c r="C241" s="9" t="s">
        <v>38</v>
      </c>
      <c r="D241" s="22">
        <v>45889</v>
      </c>
      <c r="E241" s="9">
        <v>1</v>
      </c>
      <c r="F241" s="10" t="s">
        <v>63</v>
      </c>
      <c r="G241" s="10" t="s">
        <v>85</v>
      </c>
      <c r="H241" s="9">
        <v>75</v>
      </c>
      <c r="I241" s="9" t="s">
        <v>369</v>
      </c>
      <c r="J241" s="38">
        <f t="shared" si="33"/>
        <v>75</v>
      </c>
      <c r="K241" s="38">
        <f t="shared" si="34"/>
        <v>19.756666666666668</v>
      </c>
      <c r="L241" s="38">
        <f t="shared" si="35"/>
        <v>55.243333333333332</v>
      </c>
      <c r="M241" s="38">
        <v>67.36</v>
      </c>
      <c r="N241" s="38">
        <f t="shared" si="27"/>
        <v>19.756666666666668</v>
      </c>
      <c r="O241" s="38">
        <f t="shared" si="28"/>
        <v>47.603333333333332</v>
      </c>
      <c r="P241" s="38"/>
      <c r="Q241" s="38"/>
      <c r="R241" s="38">
        <f t="shared" si="36"/>
        <v>16.049296267768366</v>
      </c>
      <c r="S241" s="9"/>
    </row>
    <row r="242" spans="1:19" ht="30" x14ac:dyDescent="0.25">
      <c r="A242" s="5" t="s">
        <v>303</v>
      </c>
      <c r="B242" s="9" t="s">
        <v>31</v>
      </c>
      <c r="C242" s="9" t="s">
        <v>39</v>
      </c>
      <c r="D242" s="22">
        <v>45889</v>
      </c>
      <c r="E242" s="9">
        <v>1</v>
      </c>
      <c r="F242" s="10" t="s">
        <v>64</v>
      </c>
      <c r="G242" s="10" t="s">
        <v>85</v>
      </c>
      <c r="H242" s="9">
        <v>68</v>
      </c>
      <c r="I242" s="9" t="s">
        <v>369</v>
      </c>
      <c r="J242" s="38">
        <f t="shared" si="33"/>
        <v>68</v>
      </c>
      <c r="K242" s="38">
        <f t="shared" si="34"/>
        <v>19.756666666666668</v>
      </c>
      <c r="L242" s="38">
        <f t="shared" si="35"/>
        <v>48.243333333333332</v>
      </c>
      <c r="M242" s="38">
        <v>60.58</v>
      </c>
      <c r="N242" s="38">
        <f t="shared" si="27"/>
        <v>19.756666666666668</v>
      </c>
      <c r="O242" s="38">
        <f t="shared" si="28"/>
        <v>40.823333333333331</v>
      </c>
      <c r="P242" s="38"/>
      <c r="Q242" s="38"/>
      <c r="R242" s="38">
        <f t="shared" si="36"/>
        <v>18.175879807299751</v>
      </c>
      <c r="S242" s="9"/>
    </row>
    <row r="243" spans="1:19" ht="30" x14ac:dyDescent="0.25">
      <c r="A243" s="5" t="s">
        <v>303</v>
      </c>
      <c r="B243" s="9" t="s">
        <v>31</v>
      </c>
      <c r="C243" s="9" t="s">
        <v>40</v>
      </c>
      <c r="D243" s="22">
        <v>45889</v>
      </c>
      <c r="E243" s="9">
        <v>1</v>
      </c>
      <c r="F243" s="10" t="s">
        <v>65</v>
      </c>
      <c r="G243" s="10" t="s">
        <v>85</v>
      </c>
      <c r="H243" s="9">
        <v>71</v>
      </c>
      <c r="I243" s="9" t="s">
        <v>369</v>
      </c>
      <c r="J243" s="38">
        <f t="shared" si="33"/>
        <v>71</v>
      </c>
      <c r="K243" s="38">
        <f t="shared" si="34"/>
        <v>19.756666666666668</v>
      </c>
      <c r="L243" s="38">
        <f t="shared" si="35"/>
        <v>51.243333333333332</v>
      </c>
      <c r="M243" s="38">
        <v>61.73</v>
      </c>
      <c r="N243" s="38">
        <f t="shared" si="27"/>
        <v>19.756666666666668</v>
      </c>
      <c r="O243" s="38">
        <f t="shared" si="28"/>
        <v>41.973333333333329</v>
      </c>
      <c r="P243" s="38"/>
      <c r="Q243" s="38"/>
      <c r="R243" s="38">
        <f t="shared" si="36"/>
        <v>22.085451080050834</v>
      </c>
      <c r="S243" s="9"/>
    </row>
    <row r="244" spans="1:19" x14ac:dyDescent="0.25">
      <c r="A244" s="5" t="s">
        <v>303</v>
      </c>
      <c r="B244" s="9" t="s">
        <v>31</v>
      </c>
      <c r="C244" s="9" t="s">
        <v>41</v>
      </c>
      <c r="D244" s="22">
        <v>45889</v>
      </c>
      <c r="E244" s="9">
        <v>1</v>
      </c>
      <c r="F244" s="10" t="s">
        <v>66</v>
      </c>
      <c r="G244" s="10" t="s">
        <v>85</v>
      </c>
      <c r="H244" s="9">
        <v>37</v>
      </c>
      <c r="I244" s="9" t="s">
        <v>370</v>
      </c>
      <c r="J244" s="38">
        <f t="shared" si="33"/>
        <v>37</v>
      </c>
      <c r="K244" s="38">
        <f t="shared" si="34"/>
        <v>19.756666666666668</v>
      </c>
      <c r="L244" s="38">
        <f t="shared" si="35"/>
        <v>17.243333333333332</v>
      </c>
      <c r="M244" s="38">
        <v>34.08</v>
      </c>
      <c r="N244" s="38">
        <f t="shared" si="27"/>
        <v>19.756666666666668</v>
      </c>
      <c r="O244" s="38">
        <f t="shared" si="28"/>
        <v>14.323333333333331</v>
      </c>
      <c r="P244" s="38"/>
      <c r="Q244" s="38"/>
      <c r="R244" s="38">
        <f t="shared" si="36"/>
        <v>20.38631603444265</v>
      </c>
      <c r="S244" s="9"/>
    </row>
    <row r="245" spans="1:19" x14ac:dyDescent="0.25">
      <c r="A245" s="5" t="s">
        <v>303</v>
      </c>
      <c r="B245" s="9" t="s">
        <v>31</v>
      </c>
      <c r="C245" s="9" t="s">
        <v>42</v>
      </c>
      <c r="D245" s="22">
        <v>45889</v>
      </c>
      <c r="E245" s="9">
        <v>1</v>
      </c>
      <c r="F245" s="10" t="s">
        <v>67</v>
      </c>
      <c r="G245" s="10" t="s">
        <v>74</v>
      </c>
      <c r="H245" s="37">
        <v>35</v>
      </c>
      <c r="I245" s="9" t="s">
        <v>370</v>
      </c>
      <c r="J245" s="38">
        <f t="shared" si="33"/>
        <v>35</v>
      </c>
      <c r="K245" s="38">
        <f t="shared" si="34"/>
        <v>19.756666666666668</v>
      </c>
      <c r="L245" s="38">
        <f t="shared" si="35"/>
        <v>15.243333333333332</v>
      </c>
      <c r="M245" s="38">
        <v>32.19</v>
      </c>
      <c r="N245" s="38">
        <f t="shared" si="27"/>
        <v>19.756666666666668</v>
      </c>
      <c r="O245" s="38">
        <f t="shared" si="28"/>
        <v>12.43333333333333</v>
      </c>
      <c r="P245" s="38"/>
      <c r="Q245" s="38"/>
      <c r="R245" s="38">
        <f t="shared" si="36"/>
        <v>22.600536193029516</v>
      </c>
      <c r="S245" s="9" t="s">
        <v>366</v>
      </c>
    </row>
    <row r="246" spans="1:19" x14ac:dyDescent="0.25">
      <c r="A246" s="5" t="s">
        <v>303</v>
      </c>
      <c r="B246" s="9" t="s">
        <v>31</v>
      </c>
      <c r="C246" s="9" t="s">
        <v>44</v>
      </c>
      <c r="D246" s="22">
        <v>45889</v>
      </c>
      <c r="E246" s="37"/>
      <c r="F246" s="9" t="s">
        <v>68</v>
      </c>
      <c r="G246" s="10" t="s">
        <v>74</v>
      </c>
      <c r="H246" s="9">
        <v>112</v>
      </c>
      <c r="I246" s="9" t="s">
        <v>371</v>
      </c>
      <c r="J246" s="38">
        <f t="shared" si="33"/>
        <v>112</v>
      </c>
      <c r="K246" s="38">
        <f t="shared" si="34"/>
        <v>19.756666666666668</v>
      </c>
      <c r="L246" s="38">
        <f t="shared" si="35"/>
        <v>92.243333333333339</v>
      </c>
      <c r="M246" s="38">
        <v>95.44</v>
      </c>
      <c r="N246" s="38">
        <f t="shared" si="27"/>
        <v>19.756666666666668</v>
      </c>
      <c r="O246" s="38">
        <f t="shared" si="28"/>
        <v>75.683333333333337</v>
      </c>
      <c r="P246" s="38">
        <v>4.5</v>
      </c>
      <c r="Q246" s="38"/>
      <c r="R246" s="38">
        <f t="shared" si="36"/>
        <v>21.880643030169569</v>
      </c>
      <c r="S246" s="9" t="s">
        <v>383</v>
      </c>
    </row>
    <row r="247" spans="1:19" s="35" customFormat="1" ht="15.75" thickBot="1" x14ac:dyDescent="0.3">
      <c r="A247" s="19" t="s">
        <v>303</v>
      </c>
      <c r="B247" s="11" t="s">
        <v>31</v>
      </c>
      <c r="C247" s="11" t="s">
        <v>45</v>
      </c>
      <c r="D247" s="23">
        <v>45889</v>
      </c>
      <c r="E247" s="36"/>
      <c r="F247" s="11" t="s">
        <v>68</v>
      </c>
      <c r="G247" s="14" t="s">
        <v>74</v>
      </c>
      <c r="H247" s="11">
        <v>35</v>
      </c>
      <c r="I247" s="11" t="s">
        <v>371</v>
      </c>
      <c r="J247" s="41">
        <f t="shared" si="33"/>
        <v>35</v>
      </c>
      <c r="K247" s="41">
        <f t="shared" si="34"/>
        <v>19.756666666666668</v>
      </c>
      <c r="L247" s="41">
        <f t="shared" si="35"/>
        <v>15.243333333333332</v>
      </c>
      <c r="M247" s="41">
        <v>31.46</v>
      </c>
      <c r="N247" s="41">
        <f t="shared" si="27"/>
        <v>19.756666666666668</v>
      </c>
      <c r="O247" s="41">
        <f t="shared" si="28"/>
        <v>11.703333333333333</v>
      </c>
      <c r="P247" s="41" t="s">
        <v>375</v>
      </c>
      <c r="Q247" s="41"/>
      <c r="R247" s="41">
        <f t="shared" si="36"/>
        <v>30.247792651666185</v>
      </c>
      <c r="S247" s="11" t="s">
        <v>383</v>
      </c>
    </row>
    <row r="248" spans="1:19" ht="30" x14ac:dyDescent="0.25">
      <c r="A248" s="20" t="s">
        <v>303</v>
      </c>
      <c r="B248" s="12" t="s">
        <v>29</v>
      </c>
      <c r="C248" s="12" t="s">
        <v>392</v>
      </c>
      <c r="D248" s="24">
        <v>45889</v>
      </c>
      <c r="E248" s="12">
        <v>2</v>
      </c>
      <c r="F248" s="13" t="s">
        <v>48</v>
      </c>
      <c r="G248" s="13" t="s">
        <v>74</v>
      </c>
      <c r="H248" s="12">
        <v>151</v>
      </c>
      <c r="I248" s="12" t="s">
        <v>331</v>
      </c>
      <c r="J248" s="40">
        <f t="shared" si="33"/>
        <v>151</v>
      </c>
      <c r="K248" s="40">
        <f t="shared" si="34"/>
        <v>19.756666666666668</v>
      </c>
      <c r="L248" s="40">
        <f t="shared" si="35"/>
        <v>131.24333333333334</v>
      </c>
      <c r="M248" s="40">
        <v>147.12</v>
      </c>
      <c r="N248" s="40">
        <f t="shared" ref="N248:N311" si="37">AVERAGE(19.9,19.77,19.6)</f>
        <v>19.756666666666668</v>
      </c>
      <c r="O248" s="40">
        <f t="shared" ref="O248:O311" si="38">M248-N248</f>
        <v>127.36333333333334</v>
      </c>
      <c r="P248" s="40"/>
      <c r="Q248" s="40"/>
      <c r="R248" s="40">
        <f t="shared" si="36"/>
        <v>3.0464026799968553</v>
      </c>
      <c r="S248" s="12"/>
    </row>
    <row r="249" spans="1:19" x14ac:dyDescent="0.25">
      <c r="A249" s="5" t="s">
        <v>303</v>
      </c>
      <c r="B249" s="9" t="s">
        <v>29</v>
      </c>
      <c r="C249" s="9" t="s">
        <v>393</v>
      </c>
      <c r="D249" s="22">
        <v>45889</v>
      </c>
      <c r="E249" s="9">
        <v>2</v>
      </c>
      <c r="F249" s="10" t="s">
        <v>49</v>
      </c>
      <c r="G249" s="10" t="s">
        <v>74</v>
      </c>
      <c r="H249" s="9">
        <v>64</v>
      </c>
      <c r="I249" s="9" t="s">
        <v>332</v>
      </c>
      <c r="J249" s="38">
        <f t="shared" si="33"/>
        <v>64</v>
      </c>
      <c r="K249" s="38">
        <f t="shared" si="34"/>
        <v>19.756666666666668</v>
      </c>
      <c r="L249" s="38">
        <f t="shared" si="35"/>
        <v>44.243333333333332</v>
      </c>
      <c r="M249" s="38">
        <v>62.95</v>
      </c>
      <c r="N249" s="38">
        <f t="shared" si="37"/>
        <v>19.756666666666668</v>
      </c>
      <c r="O249" s="38">
        <f t="shared" si="38"/>
        <v>43.193333333333335</v>
      </c>
      <c r="P249" s="38"/>
      <c r="Q249" s="38"/>
      <c r="R249" s="38">
        <f t="shared" si="36"/>
        <v>2.4309306991819657</v>
      </c>
      <c r="S249" s="9"/>
    </row>
    <row r="250" spans="1:19" x14ac:dyDescent="0.25">
      <c r="A250" s="5" t="s">
        <v>303</v>
      </c>
      <c r="B250" s="9" t="s">
        <v>29</v>
      </c>
      <c r="C250" s="9" t="s">
        <v>394</v>
      </c>
      <c r="D250" s="22">
        <v>45889</v>
      </c>
      <c r="E250" s="9">
        <v>2</v>
      </c>
      <c r="F250" s="10" t="s">
        <v>50</v>
      </c>
      <c r="G250" s="10" t="s">
        <v>71</v>
      </c>
      <c r="H250" s="9">
        <v>54</v>
      </c>
      <c r="I250" s="9" t="s">
        <v>333</v>
      </c>
      <c r="J250" s="38">
        <f t="shared" si="33"/>
        <v>54</v>
      </c>
      <c r="K250" s="38">
        <f t="shared" si="34"/>
        <v>19.756666666666668</v>
      </c>
      <c r="L250" s="38">
        <f t="shared" si="35"/>
        <v>34.243333333333332</v>
      </c>
      <c r="M250" s="38">
        <v>52.43</v>
      </c>
      <c r="N250" s="38">
        <f t="shared" si="37"/>
        <v>19.756666666666668</v>
      </c>
      <c r="O250" s="38">
        <f t="shared" si="38"/>
        <v>32.673333333333332</v>
      </c>
      <c r="P250" s="38"/>
      <c r="Q250" s="38"/>
      <c r="R250" s="38">
        <f t="shared" si="36"/>
        <v>4.8051418077943291</v>
      </c>
      <c r="S250" s="9"/>
    </row>
    <row r="251" spans="1:19" x14ac:dyDescent="0.25">
      <c r="A251" s="5" t="s">
        <v>303</v>
      </c>
      <c r="B251" s="9" t="s">
        <v>29</v>
      </c>
      <c r="C251" s="9" t="s">
        <v>395</v>
      </c>
      <c r="D251" s="22">
        <v>45889</v>
      </c>
      <c r="E251" s="9">
        <v>2</v>
      </c>
      <c r="F251" s="10" t="s">
        <v>51</v>
      </c>
      <c r="G251" s="10" t="s">
        <v>71</v>
      </c>
      <c r="H251" s="9">
        <v>79</v>
      </c>
      <c r="I251" s="9" t="s">
        <v>333</v>
      </c>
      <c r="J251" s="38">
        <f t="shared" si="33"/>
        <v>79</v>
      </c>
      <c r="K251" s="38">
        <f t="shared" si="34"/>
        <v>19.756666666666668</v>
      </c>
      <c r="L251" s="38">
        <f t="shared" si="35"/>
        <v>59.243333333333332</v>
      </c>
      <c r="M251" s="38">
        <v>76.81</v>
      </c>
      <c r="N251" s="38">
        <f t="shared" si="37"/>
        <v>19.756666666666668</v>
      </c>
      <c r="O251" s="38">
        <f t="shared" si="38"/>
        <v>57.053333333333335</v>
      </c>
      <c r="P251" s="38"/>
      <c r="Q251" s="38"/>
      <c r="R251" s="38">
        <f t="shared" si="36"/>
        <v>3.8385136714185517</v>
      </c>
      <c r="S251" s="9"/>
    </row>
    <row r="252" spans="1:19" x14ac:dyDescent="0.25">
      <c r="A252" s="5" t="s">
        <v>303</v>
      </c>
      <c r="B252" s="9" t="s">
        <v>29</v>
      </c>
      <c r="C252" s="9" t="s">
        <v>396</v>
      </c>
      <c r="D252" s="22">
        <v>45889</v>
      </c>
      <c r="E252" s="9">
        <v>2</v>
      </c>
      <c r="F252" s="10" t="s">
        <v>52</v>
      </c>
      <c r="G252" s="10" t="s">
        <v>74</v>
      </c>
      <c r="H252" s="9">
        <v>87</v>
      </c>
      <c r="I252" s="9" t="s">
        <v>333</v>
      </c>
      <c r="J252" s="38">
        <f t="shared" si="33"/>
        <v>87</v>
      </c>
      <c r="K252" s="38">
        <f t="shared" si="34"/>
        <v>19.756666666666668</v>
      </c>
      <c r="L252" s="38">
        <f t="shared" si="35"/>
        <v>67.243333333333339</v>
      </c>
      <c r="M252" s="38">
        <v>84.2</v>
      </c>
      <c r="N252" s="38">
        <f t="shared" si="37"/>
        <v>19.756666666666668</v>
      </c>
      <c r="O252" s="38">
        <f t="shared" si="38"/>
        <v>64.443333333333328</v>
      </c>
      <c r="P252" s="38"/>
      <c r="Q252" s="38"/>
      <c r="R252" s="38">
        <f t="shared" si="36"/>
        <v>4.3449024983189544</v>
      </c>
      <c r="S252" s="9"/>
    </row>
    <row r="253" spans="1:19" x14ac:dyDescent="0.25">
      <c r="A253" s="5" t="s">
        <v>303</v>
      </c>
      <c r="B253" s="9" t="s">
        <v>29</v>
      </c>
      <c r="C253" s="9" t="s">
        <v>397</v>
      </c>
      <c r="D253" s="22">
        <v>45889</v>
      </c>
      <c r="E253" s="9">
        <v>2</v>
      </c>
      <c r="F253" s="10" t="s">
        <v>53</v>
      </c>
      <c r="G253" s="10" t="s">
        <v>74</v>
      </c>
      <c r="H253" s="9">
        <v>112</v>
      </c>
      <c r="I253" s="9" t="s">
        <v>333</v>
      </c>
      <c r="J253" s="38">
        <f t="shared" si="33"/>
        <v>112</v>
      </c>
      <c r="K253" s="38">
        <f t="shared" si="34"/>
        <v>19.756666666666668</v>
      </c>
      <c r="L253" s="38">
        <f t="shared" si="35"/>
        <v>92.243333333333339</v>
      </c>
      <c r="M253" s="38">
        <v>106.74</v>
      </c>
      <c r="N253" s="38">
        <f t="shared" si="37"/>
        <v>19.756666666666668</v>
      </c>
      <c r="O253" s="38">
        <f t="shared" si="38"/>
        <v>86.98333333333332</v>
      </c>
      <c r="P253" s="38"/>
      <c r="Q253" s="38"/>
      <c r="R253" s="38">
        <f t="shared" si="36"/>
        <v>6.047135466564499</v>
      </c>
      <c r="S253" s="9"/>
    </row>
    <row r="254" spans="1:19" x14ac:dyDescent="0.25">
      <c r="A254" s="5" t="s">
        <v>303</v>
      </c>
      <c r="B254" s="9" t="s">
        <v>29</v>
      </c>
      <c r="C254" s="9" t="s">
        <v>398</v>
      </c>
      <c r="D254" s="22">
        <v>45889</v>
      </c>
      <c r="E254" s="9">
        <v>2</v>
      </c>
      <c r="F254" s="10" t="s">
        <v>54</v>
      </c>
      <c r="G254" s="10" t="s">
        <v>74</v>
      </c>
      <c r="H254" s="9">
        <v>104</v>
      </c>
      <c r="I254" s="9" t="s">
        <v>334</v>
      </c>
      <c r="J254" s="38">
        <f t="shared" si="33"/>
        <v>104</v>
      </c>
      <c r="K254" s="38">
        <f t="shared" si="34"/>
        <v>19.756666666666668</v>
      </c>
      <c r="L254" s="38">
        <f t="shared" si="35"/>
        <v>84.243333333333339</v>
      </c>
      <c r="M254" s="38">
        <v>101.12</v>
      </c>
      <c r="N254" s="38">
        <f t="shared" si="37"/>
        <v>19.756666666666668</v>
      </c>
      <c r="O254" s="38">
        <f t="shared" si="38"/>
        <v>81.363333333333344</v>
      </c>
      <c r="P254" s="38"/>
      <c r="Q254" s="38"/>
      <c r="R254" s="38">
        <f t="shared" si="36"/>
        <v>3.5396779876275084</v>
      </c>
      <c r="S254" s="9"/>
    </row>
    <row r="255" spans="1:19" x14ac:dyDescent="0.25">
      <c r="A255" s="5" t="s">
        <v>303</v>
      </c>
      <c r="B255" s="9" t="s">
        <v>29</v>
      </c>
      <c r="C255" s="9" t="s">
        <v>399</v>
      </c>
      <c r="D255" s="22">
        <v>45889</v>
      </c>
      <c r="E255" s="9">
        <v>2</v>
      </c>
      <c r="F255" s="10" t="s">
        <v>55</v>
      </c>
      <c r="G255" s="10" t="s">
        <v>74</v>
      </c>
      <c r="H255" s="9">
        <v>150</v>
      </c>
      <c r="I255" s="9" t="s">
        <v>335</v>
      </c>
      <c r="J255" s="38">
        <f t="shared" si="33"/>
        <v>150</v>
      </c>
      <c r="K255" s="38">
        <f t="shared" si="34"/>
        <v>19.756666666666668</v>
      </c>
      <c r="L255" s="38">
        <f t="shared" si="35"/>
        <v>130.24333333333334</v>
      </c>
      <c r="M255" s="38">
        <v>146.47999999999999</v>
      </c>
      <c r="N255" s="38">
        <f t="shared" si="37"/>
        <v>19.756666666666668</v>
      </c>
      <c r="O255" s="38">
        <f t="shared" si="38"/>
        <v>126.72333333333333</v>
      </c>
      <c r="P255" s="38"/>
      <c r="Q255" s="38"/>
      <c r="R255" s="38">
        <f t="shared" si="36"/>
        <v>2.7777047110503279</v>
      </c>
      <c r="S255" s="9"/>
    </row>
    <row r="256" spans="1:19" x14ac:dyDescent="0.25">
      <c r="A256" s="5" t="s">
        <v>303</v>
      </c>
      <c r="B256" s="9" t="s">
        <v>29</v>
      </c>
      <c r="C256" s="9" t="s">
        <v>400</v>
      </c>
      <c r="D256" s="22">
        <v>45889</v>
      </c>
      <c r="E256" s="9">
        <v>2</v>
      </c>
      <c r="F256" s="10" t="s">
        <v>56</v>
      </c>
      <c r="G256" s="10" t="s">
        <v>85</v>
      </c>
      <c r="H256" s="9">
        <v>128</v>
      </c>
      <c r="I256" s="9" t="s">
        <v>324</v>
      </c>
      <c r="J256" s="38">
        <f t="shared" si="33"/>
        <v>128</v>
      </c>
      <c r="K256" s="38">
        <f t="shared" si="34"/>
        <v>19.756666666666668</v>
      </c>
      <c r="L256" s="38">
        <f t="shared" si="35"/>
        <v>108.24333333333334</v>
      </c>
      <c r="M256" s="38">
        <v>124.71</v>
      </c>
      <c r="N256" s="38">
        <f t="shared" si="37"/>
        <v>19.756666666666668</v>
      </c>
      <c r="O256" s="38">
        <f t="shared" si="38"/>
        <v>104.95333333333332</v>
      </c>
      <c r="P256" s="38"/>
      <c r="Q256" s="38"/>
      <c r="R256" s="38">
        <f t="shared" si="36"/>
        <v>3.1347265451311896</v>
      </c>
      <c r="S256" s="9"/>
    </row>
    <row r="257" spans="1:19" ht="30" x14ac:dyDescent="0.25">
      <c r="A257" s="5" t="s">
        <v>303</v>
      </c>
      <c r="B257" s="9" t="s">
        <v>29</v>
      </c>
      <c r="C257" s="9" t="s">
        <v>32</v>
      </c>
      <c r="D257" s="22">
        <v>45889</v>
      </c>
      <c r="E257" s="9">
        <v>2</v>
      </c>
      <c r="F257" s="10" t="s">
        <v>57</v>
      </c>
      <c r="G257" s="10" t="s">
        <v>74</v>
      </c>
      <c r="H257" s="9">
        <v>104</v>
      </c>
      <c r="I257" s="9" t="s">
        <v>336</v>
      </c>
      <c r="J257" s="38">
        <f t="shared" si="33"/>
        <v>104</v>
      </c>
      <c r="K257" s="38">
        <f t="shared" si="34"/>
        <v>19.756666666666668</v>
      </c>
      <c r="L257" s="38">
        <f t="shared" si="35"/>
        <v>84.243333333333339</v>
      </c>
      <c r="M257" s="38">
        <v>100.17</v>
      </c>
      <c r="N257" s="38">
        <f t="shared" si="37"/>
        <v>19.756666666666668</v>
      </c>
      <c r="O257" s="38">
        <f t="shared" si="38"/>
        <v>80.413333333333327</v>
      </c>
      <c r="P257" s="38"/>
      <c r="Q257" s="38"/>
      <c r="R257" s="38">
        <f t="shared" si="36"/>
        <v>4.7628917260819259</v>
      </c>
      <c r="S257" s="9"/>
    </row>
    <row r="258" spans="1:19" x14ac:dyDescent="0.25">
      <c r="A258" s="5" t="s">
        <v>303</v>
      </c>
      <c r="B258" s="9" t="s">
        <v>29</v>
      </c>
      <c r="C258" s="9" t="s">
        <v>33</v>
      </c>
      <c r="D258" s="22">
        <v>45889</v>
      </c>
      <c r="E258" s="9">
        <v>1</v>
      </c>
      <c r="F258" s="10" t="s">
        <v>58</v>
      </c>
      <c r="G258" s="10" t="s">
        <v>74</v>
      </c>
      <c r="H258" s="9">
        <v>132</v>
      </c>
      <c r="I258" s="9" t="s">
        <v>337</v>
      </c>
      <c r="J258" s="38">
        <f t="shared" si="33"/>
        <v>132</v>
      </c>
      <c r="K258" s="38">
        <f t="shared" si="34"/>
        <v>19.756666666666668</v>
      </c>
      <c r="L258" s="38">
        <f t="shared" si="35"/>
        <v>112.24333333333334</v>
      </c>
      <c r="M258" s="38">
        <v>129.38</v>
      </c>
      <c r="N258" s="38">
        <f t="shared" si="37"/>
        <v>19.756666666666668</v>
      </c>
      <c r="O258" s="38">
        <f t="shared" si="38"/>
        <v>109.62333333333333</v>
      </c>
      <c r="P258" s="38"/>
      <c r="Q258" s="38"/>
      <c r="R258" s="38">
        <f t="shared" si="36"/>
        <v>2.3900021285006274</v>
      </c>
      <c r="S258" s="9"/>
    </row>
    <row r="259" spans="1:19" x14ac:dyDescent="0.25">
      <c r="A259" s="5" t="s">
        <v>303</v>
      </c>
      <c r="B259" s="9" t="s">
        <v>29</v>
      </c>
      <c r="C259" s="9" t="s">
        <v>34</v>
      </c>
      <c r="D259" s="22">
        <v>45889</v>
      </c>
      <c r="E259" s="9">
        <v>1</v>
      </c>
      <c r="F259" s="10" t="s">
        <v>59</v>
      </c>
      <c r="G259" s="10" t="s">
        <v>74</v>
      </c>
      <c r="H259" s="9">
        <v>61</v>
      </c>
      <c r="I259" s="9" t="s">
        <v>338</v>
      </c>
      <c r="J259" s="38">
        <f t="shared" si="33"/>
        <v>61</v>
      </c>
      <c r="K259" s="38">
        <f t="shared" si="34"/>
        <v>19.756666666666668</v>
      </c>
      <c r="L259" s="38">
        <f t="shared" si="35"/>
        <v>41.243333333333332</v>
      </c>
      <c r="M259" s="38">
        <v>57.83</v>
      </c>
      <c r="N259" s="38">
        <f t="shared" si="37"/>
        <v>19.756666666666668</v>
      </c>
      <c r="O259" s="38">
        <f t="shared" si="38"/>
        <v>38.073333333333331</v>
      </c>
      <c r="P259" s="38"/>
      <c r="Q259" s="38"/>
      <c r="R259" s="38">
        <f t="shared" si="36"/>
        <v>8.3260374715461438</v>
      </c>
      <c r="S259" s="9"/>
    </row>
    <row r="260" spans="1:19" x14ac:dyDescent="0.25">
      <c r="A260" s="5" t="s">
        <v>303</v>
      </c>
      <c r="B260" s="9" t="s">
        <v>29</v>
      </c>
      <c r="C260" s="9" t="s">
        <v>35</v>
      </c>
      <c r="D260" s="22">
        <v>45889</v>
      </c>
      <c r="E260" s="9">
        <v>1</v>
      </c>
      <c r="F260" s="10" t="s">
        <v>60</v>
      </c>
      <c r="G260" s="10" t="s">
        <v>74</v>
      </c>
      <c r="H260" s="9">
        <v>61</v>
      </c>
      <c r="I260" s="9" t="s">
        <v>339</v>
      </c>
      <c r="J260" s="38">
        <f t="shared" ref="J260:J267" si="39">H260</f>
        <v>61</v>
      </c>
      <c r="K260" s="38">
        <f t="shared" ref="K260:K267" si="40">AVERAGE(19.9,19.77,19.6)</f>
        <v>19.756666666666668</v>
      </c>
      <c r="L260" s="38">
        <f t="shared" ref="L260:L267" si="41">J260-K260</f>
        <v>41.243333333333332</v>
      </c>
      <c r="M260" s="38">
        <v>59.49</v>
      </c>
      <c r="N260" s="38">
        <f t="shared" si="37"/>
        <v>19.756666666666668</v>
      </c>
      <c r="O260" s="38">
        <f t="shared" si="38"/>
        <v>39.733333333333334</v>
      </c>
      <c r="P260" s="38"/>
      <c r="Q260" s="38"/>
      <c r="R260" s="38">
        <f t="shared" ref="R260:R267" si="42">((L260-O260)/O260)*100</f>
        <v>3.8003355704697936</v>
      </c>
      <c r="S260" s="9"/>
    </row>
    <row r="261" spans="1:19" x14ac:dyDescent="0.25">
      <c r="A261" s="5" t="s">
        <v>303</v>
      </c>
      <c r="B261" s="9" t="s">
        <v>29</v>
      </c>
      <c r="C261" s="9" t="s">
        <v>36</v>
      </c>
      <c r="D261" s="22">
        <v>45889</v>
      </c>
      <c r="E261" s="9">
        <v>1</v>
      </c>
      <c r="F261" s="10" t="s">
        <v>61</v>
      </c>
      <c r="G261" s="10" t="s">
        <v>74</v>
      </c>
      <c r="H261" s="9">
        <v>82</v>
      </c>
      <c r="I261" s="9" t="s">
        <v>262</v>
      </c>
      <c r="J261" s="38">
        <f t="shared" si="39"/>
        <v>82</v>
      </c>
      <c r="K261" s="38">
        <f t="shared" si="40"/>
        <v>19.756666666666668</v>
      </c>
      <c r="L261" s="38">
        <f t="shared" si="41"/>
        <v>62.243333333333332</v>
      </c>
      <c r="M261" s="38">
        <v>78.34</v>
      </c>
      <c r="N261" s="38">
        <f t="shared" si="37"/>
        <v>19.756666666666668</v>
      </c>
      <c r="O261" s="38">
        <f t="shared" si="38"/>
        <v>58.583333333333336</v>
      </c>
      <c r="P261" s="38"/>
      <c r="Q261" s="38"/>
      <c r="R261" s="38">
        <f t="shared" si="42"/>
        <v>6.2475106685632937</v>
      </c>
      <c r="S261" s="9"/>
    </row>
    <row r="262" spans="1:19" x14ac:dyDescent="0.25">
      <c r="A262" s="5" t="s">
        <v>303</v>
      </c>
      <c r="B262" s="9" t="s">
        <v>29</v>
      </c>
      <c r="C262" s="9" t="s">
        <v>37</v>
      </c>
      <c r="D262" s="22">
        <v>45889</v>
      </c>
      <c r="E262" s="9">
        <v>1</v>
      </c>
      <c r="F262" s="10" t="s">
        <v>62</v>
      </c>
      <c r="G262" s="10" t="s">
        <v>74</v>
      </c>
      <c r="H262" s="9">
        <v>66</v>
      </c>
      <c r="I262" s="9" t="s">
        <v>262</v>
      </c>
      <c r="J262" s="38">
        <f t="shared" si="39"/>
        <v>66</v>
      </c>
      <c r="K262" s="38">
        <f t="shared" si="40"/>
        <v>19.756666666666668</v>
      </c>
      <c r="L262" s="38">
        <f t="shared" si="41"/>
        <v>46.243333333333332</v>
      </c>
      <c r="M262" s="38">
        <v>63.58</v>
      </c>
      <c r="N262" s="38">
        <f t="shared" si="37"/>
        <v>19.756666666666668</v>
      </c>
      <c r="O262" s="38">
        <f t="shared" si="38"/>
        <v>43.823333333333331</v>
      </c>
      <c r="P262" s="38"/>
      <c r="Q262" s="38"/>
      <c r="R262" s="38">
        <f t="shared" si="42"/>
        <v>5.5221723587130187</v>
      </c>
      <c r="S262" s="9"/>
    </row>
    <row r="263" spans="1:19" x14ac:dyDescent="0.25">
      <c r="A263" s="5" t="s">
        <v>303</v>
      </c>
      <c r="B263" s="9" t="s">
        <v>29</v>
      </c>
      <c r="C263" s="9" t="s">
        <v>38</v>
      </c>
      <c r="D263" s="22">
        <v>45889</v>
      </c>
      <c r="E263" s="9">
        <v>1</v>
      </c>
      <c r="F263" s="10" t="s">
        <v>63</v>
      </c>
      <c r="G263" s="10" t="s">
        <v>74</v>
      </c>
      <c r="H263" s="9">
        <v>71</v>
      </c>
      <c r="I263" s="9" t="s">
        <v>320</v>
      </c>
      <c r="J263" s="38">
        <f t="shared" si="39"/>
        <v>71</v>
      </c>
      <c r="K263" s="38">
        <f t="shared" si="40"/>
        <v>19.756666666666668</v>
      </c>
      <c r="L263" s="38">
        <f t="shared" si="41"/>
        <v>51.243333333333332</v>
      </c>
      <c r="M263" s="38">
        <v>68.349999999999994</v>
      </c>
      <c r="N263" s="38">
        <f t="shared" si="37"/>
        <v>19.756666666666668</v>
      </c>
      <c r="O263" s="38">
        <f t="shared" si="38"/>
        <v>48.593333333333327</v>
      </c>
      <c r="P263" s="38"/>
      <c r="Q263" s="38"/>
      <c r="R263" s="38">
        <f t="shared" si="42"/>
        <v>5.453422966113334</v>
      </c>
      <c r="S263" s="9"/>
    </row>
    <row r="264" spans="1:19" x14ac:dyDescent="0.25">
      <c r="A264" s="5" t="s">
        <v>303</v>
      </c>
      <c r="B264" s="9" t="s">
        <v>29</v>
      </c>
      <c r="C264" s="9" t="s">
        <v>39</v>
      </c>
      <c r="D264" s="22">
        <v>45889</v>
      </c>
      <c r="E264" s="9">
        <v>1</v>
      </c>
      <c r="F264" s="10" t="s">
        <v>64</v>
      </c>
      <c r="G264" s="10" t="s">
        <v>74</v>
      </c>
      <c r="H264" s="9">
        <v>98</v>
      </c>
      <c r="I264" s="9" t="s">
        <v>340</v>
      </c>
      <c r="J264" s="38">
        <f t="shared" si="39"/>
        <v>98</v>
      </c>
      <c r="K264" s="38">
        <f t="shared" si="40"/>
        <v>19.756666666666668</v>
      </c>
      <c r="L264" s="38">
        <f t="shared" si="41"/>
        <v>78.243333333333339</v>
      </c>
      <c r="M264" s="38">
        <v>95.13</v>
      </c>
      <c r="N264" s="38">
        <f t="shared" si="37"/>
        <v>19.756666666666668</v>
      </c>
      <c r="O264" s="38">
        <f t="shared" si="38"/>
        <v>75.373333333333335</v>
      </c>
      <c r="P264" s="38"/>
      <c r="Q264" s="38"/>
      <c r="R264" s="38">
        <f t="shared" si="42"/>
        <v>3.8077127189103193</v>
      </c>
      <c r="S264" s="9"/>
    </row>
    <row r="265" spans="1:19" x14ac:dyDescent="0.25">
      <c r="A265" s="5" t="s">
        <v>303</v>
      </c>
      <c r="B265" s="9" t="s">
        <v>29</v>
      </c>
      <c r="C265" s="9" t="s">
        <v>40</v>
      </c>
      <c r="D265" s="22">
        <v>45889</v>
      </c>
      <c r="E265" s="9">
        <v>1</v>
      </c>
      <c r="F265" s="10" t="s">
        <v>65</v>
      </c>
      <c r="G265" s="10" t="s">
        <v>85</v>
      </c>
      <c r="H265" s="9">
        <v>60</v>
      </c>
      <c r="I265" s="9" t="s">
        <v>341</v>
      </c>
      <c r="J265" s="38">
        <f t="shared" si="39"/>
        <v>60</v>
      </c>
      <c r="K265" s="38">
        <f t="shared" si="40"/>
        <v>19.756666666666668</v>
      </c>
      <c r="L265" s="38">
        <f t="shared" si="41"/>
        <v>40.243333333333332</v>
      </c>
      <c r="M265" s="38">
        <v>57.36</v>
      </c>
      <c r="N265" s="38">
        <f t="shared" si="37"/>
        <v>19.756666666666668</v>
      </c>
      <c r="O265" s="38">
        <f t="shared" si="38"/>
        <v>37.603333333333332</v>
      </c>
      <c r="P265" s="38"/>
      <c r="Q265" s="38"/>
      <c r="R265" s="38">
        <f t="shared" si="42"/>
        <v>7.0206541973229344</v>
      </c>
      <c r="S265" s="9"/>
    </row>
    <row r="266" spans="1:19" x14ac:dyDescent="0.25">
      <c r="A266" s="5" t="s">
        <v>303</v>
      </c>
      <c r="B266" s="9" t="s">
        <v>29</v>
      </c>
      <c r="C266" s="9" t="s">
        <v>41</v>
      </c>
      <c r="D266" s="22">
        <v>45889</v>
      </c>
      <c r="E266" s="9">
        <v>1</v>
      </c>
      <c r="F266" s="10" t="s">
        <v>66</v>
      </c>
      <c r="G266" s="10" t="s">
        <v>85</v>
      </c>
      <c r="H266" s="9">
        <v>60</v>
      </c>
      <c r="I266" s="9" t="s">
        <v>341</v>
      </c>
      <c r="J266" s="38">
        <f t="shared" si="39"/>
        <v>60</v>
      </c>
      <c r="K266" s="38">
        <f t="shared" si="40"/>
        <v>19.756666666666668</v>
      </c>
      <c r="L266" s="38">
        <f t="shared" si="41"/>
        <v>40.243333333333332</v>
      </c>
      <c r="M266" s="38">
        <v>57.71</v>
      </c>
      <c r="N266" s="38">
        <f t="shared" si="37"/>
        <v>19.756666666666668</v>
      </c>
      <c r="O266" s="38">
        <f t="shared" si="38"/>
        <v>37.953333333333333</v>
      </c>
      <c r="P266" s="38"/>
      <c r="Q266" s="38"/>
      <c r="R266" s="38">
        <f t="shared" si="42"/>
        <v>6.0337256279641638</v>
      </c>
      <c r="S266" s="9"/>
    </row>
    <row r="267" spans="1:19" x14ac:dyDescent="0.25">
      <c r="A267" s="5" t="s">
        <v>303</v>
      </c>
      <c r="B267" s="9" t="s">
        <v>29</v>
      </c>
      <c r="C267" s="9" t="s">
        <v>42</v>
      </c>
      <c r="D267" s="22">
        <v>45889</v>
      </c>
      <c r="E267" s="9">
        <v>1</v>
      </c>
      <c r="F267" s="10" t="s">
        <v>67</v>
      </c>
      <c r="G267" s="10" t="s">
        <v>85</v>
      </c>
      <c r="H267" s="9">
        <v>54</v>
      </c>
      <c r="I267" s="9" t="s">
        <v>341</v>
      </c>
      <c r="J267" s="38">
        <f t="shared" si="39"/>
        <v>54</v>
      </c>
      <c r="K267" s="38">
        <f t="shared" si="40"/>
        <v>19.756666666666668</v>
      </c>
      <c r="L267" s="38">
        <f t="shared" si="41"/>
        <v>34.243333333333332</v>
      </c>
      <c r="M267" s="38">
        <v>51.92</v>
      </c>
      <c r="N267" s="38">
        <f t="shared" si="37"/>
        <v>19.756666666666668</v>
      </c>
      <c r="O267" s="38">
        <f t="shared" si="38"/>
        <v>32.163333333333334</v>
      </c>
      <c r="P267" s="38"/>
      <c r="Q267" s="38"/>
      <c r="R267" s="38">
        <f t="shared" si="42"/>
        <v>6.4669913980723335</v>
      </c>
      <c r="S267" s="9"/>
    </row>
    <row r="268" spans="1:19" s="35" customFormat="1" ht="30.75" thickBot="1" x14ac:dyDescent="0.3">
      <c r="A268" s="19" t="s">
        <v>303</v>
      </c>
      <c r="B268" s="11" t="s">
        <v>29</v>
      </c>
      <c r="C268" s="11" t="s">
        <v>43</v>
      </c>
      <c r="D268" s="23">
        <v>45889</v>
      </c>
      <c r="E268" s="11">
        <v>7</v>
      </c>
      <c r="F268" s="11" t="s">
        <v>68</v>
      </c>
      <c r="G268" s="14" t="s">
        <v>74</v>
      </c>
      <c r="H268" s="36"/>
      <c r="I268" s="11" t="s">
        <v>342</v>
      </c>
      <c r="J268" s="50"/>
      <c r="K268" s="50"/>
      <c r="L268" s="50"/>
      <c r="M268" s="41">
        <v>176.81</v>
      </c>
      <c r="N268" s="41">
        <f t="shared" si="37"/>
        <v>19.756666666666668</v>
      </c>
      <c r="O268" s="41">
        <f t="shared" si="38"/>
        <v>157.05333333333334</v>
      </c>
      <c r="P268" s="41">
        <v>5.5</v>
      </c>
      <c r="Q268" s="41"/>
      <c r="R268" s="50"/>
      <c r="S268" s="11" t="s">
        <v>386</v>
      </c>
    </row>
    <row r="269" spans="1:19" x14ac:dyDescent="0.25">
      <c r="A269" s="20" t="s">
        <v>303</v>
      </c>
      <c r="B269" s="12" t="s">
        <v>28</v>
      </c>
      <c r="C269" s="12" t="s">
        <v>392</v>
      </c>
      <c r="D269" s="24">
        <v>45889</v>
      </c>
      <c r="E269" s="12">
        <v>2</v>
      </c>
      <c r="F269" s="13" t="s">
        <v>48</v>
      </c>
      <c r="G269" s="13" t="s">
        <v>71</v>
      </c>
      <c r="H269" s="12">
        <v>147</v>
      </c>
      <c r="I269" s="12" t="s">
        <v>320</v>
      </c>
      <c r="J269" s="40">
        <f t="shared" ref="J269:J300" si="43">H269</f>
        <v>147</v>
      </c>
      <c r="K269" s="40">
        <f t="shared" ref="K269:K300" si="44">AVERAGE(19.9,19.77,19.6)</f>
        <v>19.756666666666668</v>
      </c>
      <c r="L269" s="40">
        <f t="shared" ref="L269:L300" si="45">J269-K269</f>
        <v>127.24333333333334</v>
      </c>
      <c r="M269" s="40">
        <v>144.59</v>
      </c>
      <c r="N269" s="40">
        <f t="shared" si="37"/>
        <v>19.756666666666668</v>
      </c>
      <c r="O269" s="40">
        <f t="shared" si="38"/>
        <v>124.83333333333334</v>
      </c>
      <c r="P269" s="40"/>
      <c r="Q269" s="40"/>
      <c r="R269" s="40">
        <f t="shared" ref="R269:R300" si="46">((L269-O269)/O269)*100</f>
        <v>1.930574098798395</v>
      </c>
      <c r="S269" s="12"/>
    </row>
    <row r="270" spans="1:19" x14ac:dyDescent="0.25">
      <c r="A270" s="5" t="s">
        <v>303</v>
      </c>
      <c r="B270" s="9" t="s">
        <v>28</v>
      </c>
      <c r="C270" s="9" t="s">
        <v>393</v>
      </c>
      <c r="D270" s="22">
        <v>45889</v>
      </c>
      <c r="E270" s="9">
        <v>2</v>
      </c>
      <c r="F270" s="10" t="s">
        <v>49</v>
      </c>
      <c r="G270" s="10" t="s">
        <v>71</v>
      </c>
      <c r="H270" s="9">
        <v>111</v>
      </c>
      <c r="I270" s="9" t="s">
        <v>321</v>
      </c>
      <c r="J270" s="38">
        <f t="shared" si="43"/>
        <v>111</v>
      </c>
      <c r="K270" s="38">
        <f t="shared" si="44"/>
        <v>19.756666666666668</v>
      </c>
      <c r="L270" s="38">
        <f t="shared" si="45"/>
        <v>91.243333333333339</v>
      </c>
      <c r="M270" s="38">
        <v>108.09</v>
      </c>
      <c r="N270" s="38">
        <f t="shared" si="37"/>
        <v>19.756666666666668</v>
      </c>
      <c r="O270" s="38">
        <f t="shared" si="38"/>
        <v>88.333333333333343</v>
      </c>
      <c r="P270" s="38"/>
      <c r="Q270" s="38"/>
      <c r="R270" s="38">
        <f t="shared" si="46"/>
        <v>3.2943396226415054</v>
      </c>
      <c r="S270" s="9"/>
    </row>
    <row r="271" spans="1:19" x14ac:dyDescent="0.25">
      <c r="A271" s="5" t="s">
        <v>303</v>
      </c>
      <c r="B271" s="9" t="s">
        <v>28</v>
      </c>
      <c r="C271" s="9" t="s">
        <v>394</v>
      </c>
      <c r="D271" s="22">
        <v>45889</v>
      </c>
      <c r="E271" s="9">
        <v>2</v>
      </c>
      <c r="F271" s="10" t="s">
        <v>50</v>
      </c>
      <c r="G271" s="10" t="s">
        <v>71</v>
      </c>
      <c r="H271" s="9">
        <v>99</v>
      </c>
      <c r="I271" s="9" t="s">
        <v>321</v>
      </c>
      <c r="J271" s="38">
        <f t="shared" si="43"/>
        <v>99</v>
      </c>
      <c r="K271" s="38">
        <f t="shared" si="44"/>
        <v>19.756666666666668</v>
      </c>
      <c r="L271" s="38">
        <f t="shared" si="45"/>
        <v>79.243333333333339</v>
      </c>
      <c r="M271" s="38">
        <v>93.48</v>
      </c>
      <c r="N271" s="38">
        <f t="shared" si="37"/>
        <v>19.756666666666668</v>
      </c>
      <c r="O271" s="38">
        <f t="shared" si="38"/>
        <v>73.723333333333329</v>
      </c>
      <c r="P271" s="38"/>
      <c r="Q271" s="38"/>
      <c r="R271" s="38">
        <f t="shared" si="46"/>
        <v>7.487453090382977</v>
      </c>
      <c r="S271" s="9"/>
    </row>
    <row r="272" spans="1:19" x14ac:dyDescent="0.25">
      <c r="A272" s="5" t="s">
        <v>303</v>
      </c>
      <c r="B272" s="9" t="s">
        <v>28</v>
      </c>
      <c r="C272" s="9" t="s">
        <v>395</v>
      </c>
      <c r="D272" s="22">
        <v>45889</v>
      </c>
      <c r="E272" s="9">
        <v>2</v>
      </c>
      <c r="F272" s="10" t="s">
        <v>51</v>
      </c>
      <c r="G272" s="10" t="s">
        <v>74</v>
      </c>
      <c r="H272" s="9">
        <v>116</v>
      </c>
      <c r="I272" s="9" t="s">
        <v>322</v>
      </c>
      <c r="J272" s="38">
        <f t="shared" si="43"/>
        <v>116</v>
      </c>
      <c r="K272" s="38">
        <f t="shared" si="44"/>
        <v>19.756666666666668</v>
      </c>
      <c r="L272" s="38">
        <f t="shared" si="45"/>
        <v>96.243333333333339</v>
      </c>
      <c r="M272" s="38">
        <v>111.9</v>
      </c>
      <c r="N272" s="38">
        <f t="shared" si="37"/>
        <v>19.756666666666668</v>
      </c>
      <c r="O272" s="38">
        <f t="shared" si="38"/>
        <v>92.143333333333345</v>
      </c>
      <c r="P272" s="38"/>
      <c r="Q272" s="38"/>
      <c r="R272" s="38">
        <f t="shared" si="46"/>
        <v>4.4495894078066716</v>
      </c>
      <c r="S272" s="9"/>
    </row>
    <row r="273" spans="1:19" x14ac:dyDescent="0.25">
      <c r="A273" s="5" t="s">
        <v>303</v>
      </c>
      <c r="B273" s="9" t="s">
        <v>28</v>
      </c>
      <c r="C273" s="9" t="s">
        <v>396</v>
      </c>
      <c r="D273" s="22">
        <v>45889</v>
      </c>
      <c r="E273" s="9">
        <v>2</v>
      </c>
      <c r="F273" s="10" t="s">
        <v>52</v>
      </c>
      <c r="G273" s="10" t="s">
        <v>74</v>
      </c>
      <c r="H273" s="9">
        <v>131</v>
      </c>
      <c r="I273" s="9" t="s">
        <v>322</v>
      </c>
      <c r="J273" s="38">
        <f t="shared" si="43"/>
        <v>131</v>
      </c>
      <c r="K273" s="38">
        <f t="shared" si="44"/>
        <v>19.756666666666668</v>
      </c>
      <c r="L273" s="38">
        <f t="shared" si="45"/>
        <v>111.24333333333334</v>
      </c>
      <c r="M273" s="38">
        <v>125.52</v>
      </c>
      <c r="N273" s="38">
        <f t="shared" si="37"/>
        <v>19.756666666666668</v>
      </c>
      <c r="O273" s="38">
        <f t="shared" si="38"/>
        <v>105.76333333333332</v>
      </c>
      <c r="P273" s="38"/>
      <c r="Q273" s="38"/>
      <c r="R273" s="38">
        <f t="shared" si="46"/>
        <v>5.1813798102682265</v>
      </c>
      <c r="S273" s="9" t="s">
        <v>319</v>
      </c>
    </row>
    <row r="274" spans="1:19" x14ac:dyDescent="0.25">
      <c r="A274" s="5" t="s">
        <v>303</v>
      </c>
      <c r="B274" s="9" t="s">
        <v>28</v>
      </c>
      <c r="C274" s="9" t="s">
        <v>397</v>
      </c>
      <c r="D274" s="22">
        <v>45889</v>
      </c>
      <c r="E274" s="9">
        <v>2</v>
      </c>
      <c r="F274" s="10" t="s">
        <v>53</v>
      </c>
      <c r="G274" s="10" t="s">
        <v>74</v>
      </c>
      <c r="H274" s="9">
        <v>146</v>
      </c>
      <c r="I274" s="9" t="s">
        <v>262</v>
      </c>
      <c r="J274" s="38">
        <f t="shared" si="43"/>
        <v>146</v>
      </c>
      <c r="K274" s="38">
        <f t="shared" si="44"/>
        <v>19.756666666666668</v>
      </c>
      <c r="L274" s="38">
        <f t="shared" si="45"/>
        <v>126.24333333333334</v>
      </c>
      <c r="M274" s="38">
        <v>142.38999999999999</v>
      </c>
      <c r="N274" s="38">
        <f t="shared" si="37"/>
        <v>19.756666666666668</v>
      </c>
      <c r="O274" s="38">
        <f t="shared" si="38"/>
        <v>122.63333333333333</v>
      </c>
      <c r="P274" s="38"/>
      <c r="Q274" s="38"/>
      <c r="R274" s="38">
        <f t="shared" si="46"/>
        <v>2.9437347105191738</v>
      </c>
      <c r="S274" s="9"/>
    </row>
    <row r="275" spans="1:19" x14ac:dyDescent="0.25">
      <c r="A275" s="5" t="s">
        <v>303</v>
      </c>
      <c r="B275" s="9" t="s">
        <v>28</v>
      </c>
      <c r="C275" s="9" t="s">
        <v>398</v>
      </c>
      <c r="D275" s="22">
        <v>45889</v>
      </c>
      <c r="E275" s="9">
        <v>2</v>
      </c>
      <c r="F275" s="10" t="s">
        <v>54</v>
      </c>
      <c r="G275" s="10" t="s">
        <v>71</v>
      </c>
      <c r="H275" s="9">
        <v>132</v>
      </c>
      <c r="I275" s="9" t="s">
        <v>262</v>
      </c>
      <c r="J275" s="38">
        <f t="shared" si="43"/>
        <v>132</v>
      </c>
      <c r="K275" s="38">
        <f t="shared" si="44"/>
        <v>19.756666666666668</v>
      </c>
      <c r="L275" s="38">
        <f t="shared" si="45"/>
        <v>112.24333333333334</v>
      </c>
      <c r="M275" s="38">
        <v>128.16</v>
      </c>
      <c r="N275" s="38">
        <f t="shared" si="37"/>
        <v>19.756666666666668</v>
      </c>
      <c r="O275" s="38">
        <f t="shared" si="38"/>
        <v>108.40333333333334</v>
      </c>
      <c r="P275" s="38"/>
      <c r="Q275" s="38"/>
      <c r="R275" s="38">
        <f t="shared" si="46"/>
        <v>3.5423264967251962</v>
      </c>
      <c r="S275" s="9"/>
    </row>
    <row r="276" spans="1:19" x14ac:dyDescent="0.25">
      <c r="A276" s="5" t="s">
        <v>303</v>
      </c>
      <c r="B276" s="9" t="s">
        <v>28</v>
      </c>
      <c r="C276" s="9" t="s">
        <v>399</v>
      </c>
      <c r="D276" s="22">
        <v>45889</v>
      </c>
      <c r="E276" s="9">
        <v>2</v>
      </c>
      <c r="F276" s="10" t="s">
        <v>55</v>
      </c>
      <c r="G276" s="10" t="s">
        <v>71</v>
      </c>
      <c r="H276" s="9">
        <v>140</v>
      </c>
      <c r="I276" s="9" t="s">
        <v>323</v>
      </c>
      <c r="J276" s="38">
        <f t="shared" si="43"/>
        <v>140</v>
      </c>
      <c r="K276" s="38">
        <f t="shared" si="44"/>
        <v>19.756666666666668</v>
      </c>
      <c r="L276" s="38">
        <f t="shared" si="45"/>
        <v>120.24333333333334</v>
      </c>
      <c r="M276" s="38">
        <v>136.53</v>
      </c>
      <c r="N276" s="38">
        <f t="shared" si="37"/>
        <v>19.756666666666668</v>
      </c>
      <c r="O276" s="38">
        <f t="shared" si="38"/>
        <v>116.77333333333334</v>
      </c>
      <c r="P276" s="38"/>
      <c r="Q276" s="38"/>
      <c r="R276" s="38">
        <f t="shared" si="46"/>
        <v>2.9715688513359204</v>
      </c>
      <c r="S276" s="9"/>
    </row>
    <row r="277" spans="1:19" x14ac:dyDescent="0.25">
      <c r="A277" s="5" t="s">
        <v>303</v>
      </c>
      <c r="B277" s="9" t="s">
        <v>28</v>
      </c>
      <c r="C277" s="9" t="s">
        <v>400</v>
      </c>
      <c r="D277" s="22">
        <v>45889</v>
      </c>
      <c r="E277" s="9">
        <v>2</v>
      </c>
      <c r="F277" s="10" t="s">
        <v>56</v>
      </c>
      <c r="G277" s="10" t="s">
        <v>74</v>
      </c>
      <c r="H277" s="9">
        <v>129</v>
      </c>
      <c r="I277" s="9" t="s">
        <v>324</v>
      </c>
      <c r="J277" s="38">
        <f t="shared" si="43"/>
        <v>129</v>
      </c>
      <c r="K277" s="38">
        <f t="shared" si="44"/>
        <v>19.756666666666668</v>
      </c>
      <c r="L277" s="38">
        <f t="shared" si="45"/>
        <v>109.24333333333334</v>
      </c>
      <c r="M277" s="38">
        <v>124.37</v>
      </c>
      <c r="N277" s="38">
        <f t="shared" si="37"/>
        <v>19.756666666666668</v>
      </c>
      <c r="O277" s="38">
        <f t="shared" si="38"/>
        <v>104.61333333333334</v>
      </c>
      <c r="P277" s="38"/>
      <c r="Q277" s="38"/>
      <c r="R277" s="38">
        <f t="shared" si="46"/>
        <v>4.4258220749426407</v>
      </c>
      <c r="S277" s="9"/>
    </row>
    <row r="278" spans="1:19" ht="30" x14ac:dyDescent="0.25">
      <c r="A278" s="5" t="s">
        <v>303</v>
      </c>
      <c r="B278" s="9" t="s">
        <v>28</v>
      </c>
      <c r="C278" s="9" t="s">
        <v>32</v>
      </c>
      <c r="D278" s="22">
        <v>45889</v>
      </c>
      <c r="E278" s="9">
        <v>2</v>
      </c>
      <c r="F278" s="10" t="s">
        <v>57</v>
      </c>
      <c r="G278" s="10" t="s">
        <v>85</v>
      </c>
      <c r="H278" s="9">
        <v>147</v>
      </c>
      <c r="I278" s="9" t="s">
        <v>325</v>
      </c>
      <c r="J278" s="38">
        <f t="shared" si="43"/>
        <v>147</v>
      </c>
      <c r="K278" s="38">
        <f t="shared" si="44"/>
        <v>19.756666666666668</v>
      </c>
      <c r="L278" s="38">
        <f t="shared" si="45"/>
        <v>127.24333333333334</v>
      </c>
      <c r="M278" s="38">
        <v>143.38999999999999</v>
      </c>
      <c r="N278" s="38">
        <f t="shared" si="37"/>
        <v>19.756666666666668</v>
      </c>
      <c r="O278" s="38">
        <f t="shared" si="38"/>
        <v>123.63333333333333</v>
      </c>
      <c r="P278" s="38"/>
      <c r="Q278" s="38"/>
      <c r="R278" s="38">
        <f t="shared" si="46"/>
        <v>2.9199245079536378</v>
      </c>
      <c r="S278" s="9"/>
    </row>
    <row r="279" spans="1:19" x14ac:dyDescent="0.25">
      <c r="A279" s="5" t="s">
        <v>303</v>
      </c>
      <c r="B279" s="9" t="s">
        <v>28</v>
      </c>
      <c r="C279" s="9" t="s">
        <v>33</v>
      </c>
      <c r="D279" s="22">
        <v>45889</v>
      </c>
      <c r="E279" s="9">
        <v>1</v>
      </c>
      <c r="F279" s="10" t="s">
        <v>58</v>
      </c>
      <c r="G279" s="10" t="s">
        <v>74</v>
      </c>
      <c r="H279" s="9">
        <v>84</v>
      </c>
      <c r="I279" s="9" t="s">
        <v>262</v>
      </c>
      <c r="J279" s="38">
        <f t="shared" si="43"/>
        <v>84</v>
      </c>
      <c r="K279" s="38">
        <f t="shared" si="44"/>
        <v>19.756666666666668</v>
      </c>
      <c r="L279" s="38">
        <f t="shared" si="45"/>
        <v>64.243333333333339</v>
      </c>
      <c r="M279" s="38">
        <v>81.31</v>
      </c>
      <c r="N279" s="38">
        <f t="shared" si="37"/>
        <v>19.756666666666668</v>
      </c>
      <c r="O279" s="38">
        <f t="shared" si="38"/>
        <v>61.553333333333335</v>
      </c>
      <c r="P279" s="38"/>
      <c r="Q279" s="38"/>
      <c r="R279" s="38">
        <f t="shared" si="46"/>
        <v>4.3701938698148028</v>
      </c>
      <c r="S279" s="9"/>
    </row>
    <row r="280" spans="1:19" x14ac:dyDescent="0.25">
      <c r="A280" s="5" t="s">
        <v>303</v>
      </c>
      <c r="B280" s="9" t="s">
        <v>28</v>
      </c>
      <c r="C280" s="9" t="s">
        <v>34</v>
      </c>
      <c r="D280" s="22">
        <v>45889</v>
      </c>
      <c r="E280" s="9">
        <v>1</v>
      </c>
      <c r="F280" s="10" t="s">
        <v>59</v>
      </c>
      <c r="G280" s="10" t="s">
        <v>74</v>
      </c>
      <c r="H280" s="9">
        <v>85</v>
      </c>
      <c r="I280" s="9" t="s">
        <v>262</v>
      </c>
      <c r="J280" s="38">
        <f t="shared" si="43"/>
        <v>85</v>
      </c>
      <c r="K280" s="38">
        <f t="shared" si="44"/>
        <v>19.756666666666668</v>
      </c>
      <c r="L280" s="38">
        <f t="shared" si="45"/>
        <v>65.243333333333339</v>
      </c>
      <c r="M280" s="38">
        <v>83.19</v>
      </c>
      <c r="N280" s="38">
        <f t="shared" si="37"/>
        <v>19.756666666666668</v>
      </c>
      <c r="O280" s="38">
        <f t="shared" si="38"/>
        <v>63.43333333333333</v>
      </c>
      <c r="P280" s="38"/>
      <c r="Q280" s="38"/>
      <c r="R280" s="38">
        <f t="shared" si="46"/>
        <v>2.8533893851813077</v>
      </c>
      <c r="S280" s="9"/>
    </row>
    <row r="281" spans="1:19" x14ac:dyDescent="0.25">
      <c r="A281" s="5" t="s">
        <v>303</v>
      </c>
      <c r="B281" s="9" t="s">
        <v>28</v>
      </c>
      <c r="C281" s="9" t="s">
        <v>35</v>
      </c>
      <c r="D281" s="22">
        <v>45889</v>
      </c>
      <c r="E281" s="9">
        <v>1</v>
      </c>
      <c r="F281" s="10" t="s">
        <v>60</v>
      </c>
      <c r="G281" s="10" t="s">
        <v>74</v>
      </c>
      <c r="H281" s="9">
        <v>78</v>
      </c>
      <c r="I281" s="9" t="s">
        <v>262</v>
      </c>
      <c r="J281" s="38">
        <f t="shared" si="43"/>
        <v>78</v>
      </c>
      <c r="K281" s="38">
        <f t="shared" si="44"/>
        <v>19.756666666666668</v>
      </c>
      <c r="L281" s="38">
        <f t="shared" si="45"/>
        <v>58.243333333333332</v>
      </c>
      <c r="M281" s="38">
        <v>75.260000000000005</v>
      </c>
      <c r="N281" s="38">
        <f t="shared" si="37"/>
        <v>19.756666666666668</v>
      </c>
      <c r="O281" s="38">
        <f t="shared" si="38"/>
        <v>55.503333333333337</v>
      </c>
      <c r="P281" s="38"/>
      <c r="Q281" s="38"/>
      <c r="R281" s="38">
        <f t="shared" si="46"/>
        <v>4.9366404420154852</v>
      </c>
      <c r="S281" s="9"/>
    </row>
    <row r="282" spans="1:19" x14ac:dyDescent="0.25">
      <c r="A282" s="5" t="s">
        <v>303</v>
      </c>
      <c r="B282" s="9" t="s">
        <v>28</v>
      </c>
      <c r="C282" s="9" t="s">
        <v>36</v>
      </c>
      <c r="D282" s="22">
        <v>45889</v>
      </c>
      <c r="E282" s="9">
        <v>1</v>
      </c>
      <c r="F282" s="10" t="s">
        <v>61</v>
      </c>
      <c r="G282" s="10" t="s">
        <v>74</v>
      </c>
      <c r="H282" s="9">
        <v>91</v>
      </c>
      <c r="I282" s="9" t="s">
        <v>326</v>
      </c>
      <c r="J282" s="38">
        <f t="shared" si="43"/>
        <v>91</v>
      </c>
      <c r="K282" s="38">
        <f t="shared" si="44"/>
        <v>19.756666666666668</v>
      </c>
      <c r="L282" s="38">
        <f t="shared" si="45"/>
        <v>71.243333333333339</v>
      </c>
      <c r="M282" s="38">
        <v>87.83</v>
      </c>
      <c r="N282" s="38">
        <f t="shared" si="37"/>
        <v>19.756666666666668</v>
      </c>
      <c r="O282" s="38">
        <f t="shared" si="38"/>
        <v>68.073333333333323</v>
      </c>
      <c r="P282" s="38"/>
      <c r="Q282" s="38"/>
      <c r="R282" s="38">
        <f t="shared" si="46"/>
        <v>4.6567427284301486</v>
      </c>
      <c r="S282" s="9"/>
    </row>
    <row r="283" spans="1:19" x14ac:dyDescent="0.25">
      <c r="A283" s="5" t="s">
        <v>303</v>
      </c>
      <c r="B283" s="9" t="s">
        <v>28</v>
      </c>
      <c r="C283" s="9" t="s">
        <v>37</v>
      </c>
      <c r="D283" s="22">
        <v>45889</v>
      </c>
      <c r="E283" s="9">
        <v>1</v>
      </c>
      <c r="F283" s="10" t="s">
        <v>62</v>
      </c>
      <c r="G283" s="10" t="s">
        <v>74</v>
      </c>
      <c r="H283" s="9">
        <v>70</v>
      </c>
      <c r="I283" s="9" t="s">
        <v>326</v>
      </c>
      <c r="J283" s="38">
        <f t="shared" si="43"/>
        <v>70</v>
      </c>
      <c r="K283" s="38">
        <f t="shared" si="44"/>
        <v>19.756666666666668</v>
      </c>
      <c r="L283" s="38">
        <f t="shared" si="45"/>
        <v>50.243333333333332</v>
      </c>
      <c r="M283" s="38">
        <v>67.7</v>
      </c>
      <c r="N283" s="38">
        <f t="shared" si="37"/>
        <v>19.756666666666668</v>
      </c>
      <c r="O283" s="38">
        <f t="shared" si="38"/>
        <v>47.943333333333335</v>
      </c>
      <c r="P283" s="38"/>
      <c r="Q283" s="38"/>
      <c r="R283" s="38">
        <f t="shared" si="46"/>
        <v>4.7973301814642229</v>
      </c>
      <c r="S283" s="9"/>
    </row>
    <row r="284" spans="1:19" ht="30" x14ac:dyDescent="0.25">
      <c r="A284" s="5" t="s">
        <v>303</v>
      </c>
      <c r="B284" s="9" t="s">
        <v>28</v>
      </c>
      <c r="C284" s="9" t="s">
        <v>38</v>
      </c>
      <c r="D284" s="22">
        <v>45889</v>
      </c>
      <c r="E284" s="9">
        <v>1</v>
      </c>
      <c r="F284" s="10" t="s">
        <v>63</v>
      </c>
      <c r="G284" s="10" t="s">
        <v>85</v>
      </c>
      <c r="H284" s="9">
        <v>70</v>
      </c>
      <c r="I284" s="9" t="s">
        <v>327</v>
      </c>
      <c r="J284" s="38">
        <f t="shared" si="43"/>
        <v>70</v>
      </c>
      <c r="K284" s="38">
        <f t="shared" si="44"/>
        <v>19.756666666666668</v>
      </c>
      <c r="L284" s="38">
        <f t="shared" si="45"/>
        <v>50.243333333333332</v>
      </c>
      <c r="M284" s="38">
        <v>67.66</v>
      </c>
      <c r="N284" s="38">
        <f t="shared" si="37"/>
        <v>19.756666666666668</v>
      </c>
      <c r="O284" s="38">
        <f t="shared" si="38"/>
        <v>47.903333333333329</v>
      </c>
      <c r="P284" s="38"/>
      <c r="Q284" s="38"/>
      <c r="R284" s="38">
        <f t="shared" si="46"/>
        <v>4.8848375200055738</v>
      </c>
      <c r="S284" s="9"/>
    </row>
    <row r="285" spans="1:19" x14ac:dyDescent="0.25">
      <c r="A285" s="5" t="s">
        <v>303</v>
      </c>
      <c r="B285" s="9" t="s">
        <v>28</v>
      </c>
      <c r="C285" s="9" t="s">
        <v>39</v>
      </c>
      <c r="D285" s="22">
        <v>45889</v>
      </c>
      <c r="E285" s="9">
        <v>1</v>
      </c>
      <c r="F285" s="10" t="s">
        <v>64</v>
      </c>
      <c r="G285" s="10" t="s">
        <v>85</v>
      </c>
      <c r="H285" s="9">
        <v>67</v>
      </c>
      <c r="I285" s="9" t="s">
        <v>328</v>
      </c>
      <c r="J285" s="38">
        <f t="shared" si="43"/>
        <v>67</v>
      </c>
      <c r="K285" s="38">
        <f t="shared" si="44"/>
        <v>19.756666666666668</v>
      </c>
      <c r="L285" s="38">
        <f t="shared" si="45"/>
        <v>47.243333333333332</v>
      </c>
      <c r="M285" s="38">
        <v>64.150000000000006</v>
      </c>
      <c r="N285" s="38">
        <f t="shared" si="37"/>
        <v>19.756666666666668</v>
      </c>
      <c r="O285" s="38">
        <f t="shared" si="38"/>
        <v>44.393333333333338</v>
      </c>
      <c r="P285" s="38"/>
      <c r="Q285" s="38"/>
      <c r="R285" s="38">
        <f t="shared" si="46"/>
        <v>6.4198828652950759</v>
      </c>
      <c r="S285" s="9"/>
    </row>
    <row r="286" spans="1:19" x14ac:dyDescent="0.25">
      <c r="A286" s="5" t="s">
        <v>303</v>
      </c>
      <c r="B286" s="9" t="s">
        <v>28</v>
      </c>
      <c r="C286" s="9" t="s">
        <v>40</v>
      </c>
      <c r="D286" s="22">
        <v>45889</v>
      </c>
      <c r="E286" s="9">
        <v>1</v>
      </c>
      <c r="F286" s="10" t="s">
        <v>65</v>
      </c>
      <c r="G286" s="10" t="s">
        <v>74</v>
      </c>
      <c r="H286" s="9">
        <v>69</v>
      </c>
      <c r="I286" s="9" t="s">
        <v>328</v>
      </c>
      <c r="J286" s="38">
        <f t="shared" si="43"/>
        <v>69</v>
      </c>
      <c r="K286" s="38">
        <f t="shared" si="44"/>
        <v>19.756666666666668</v>
      </c>
      <c r="L286" s="38">
        <f t="shared" si="45"/>
        <v>49.243333333333332</v>
      </c>
      <c r="M286" s="38">
        <v>67.540000000000006</v>
      </c>
      <c r="N286" s="38">
        <f t="shared" si="37"/>
        <v>19.756666666666668</v>
      </c>
      <c r="O286" s="38">
        <f t="shared" si="38"/>
        <v>47.783333333333339</v>
      </c>
      <c r="P286" s="38"/>
      <c r="Q286" s="38"/>
      <c r="R286" s="38">
        <f t="shared" si="46"/>
        <v>3.0554586675967776</v>
      </c>
      <c r="S286" s="9"/>
    </row>
    <row r="287" spans="1:19" x14ac:dyDescent="0.25">
      <c r="A287" s="5" t="s">
        <v>303</v>
      </c>
      <c r="B287" s="9" t="s">
        <v>28</v>
      </c>
      <c r="C287" s="9" t="s">
        <v>41</v>
      </c>
      <c r="D287" s="22">
        <v>45889</v>
      </c>
      <c r="E287" s="9">
        <v>1</v>
      </c>
      <c r="F287" s="10" t="s">
        <v>66</v>
      </c>
      <c r="G287" s="10" t="s">
        <v>74</v>
      </c>
      <c r="H287" s="9">
        <v>54</v>
      </c>
      <c r="I287" s="9" t="s">
        <v>328</v>
      </c>
      <c r="J287" s="38">
        <f t="shared" si="43"/>
        <v>54</v>
      </c>
      <c r="K287" s="38">
        <f t="shared" si="44"/>
        <v>19.756666666666668</v>
      </c>
      <c r="L287" s="38">
        <f t="shared" si="45"/>
        <v>34.243333333333332</v>
      </c>
      <c r="M287" s="38">
        <v>52.12</v>
      </c>
      <c r="N287" s="38">
        <f t="shared" si="37"/>
        <v>19.756666666666668</v>
      </c>
      <c r="O287" s="38">
        <f t="shared" si="38"/>
        <v>32.36333333333333</v>
      </c>
      <c r="P287" s="38"/>
      <c r="Q287" s="38"/>
      <c r="R287" s="38">
        <f t="shared" si="46"/>
        <v>5.809043155834801</v>
      </c>
      <c r="S287" s="9"/>
    </row>
    <row r="288" spans="1:19" x14ac:dyDescent="0.25">
      <c r="A288" s="5" t="s">
        <v>303</v>
      </c>
      <c r="B288" s="9" t="s">
        <v>28</v>
      </c>
      <c r="C288" s="9" t="s">
        <v>42</v>
      </c>
      <c r="D288" s="22">
        <v>45889</v>
      </c>
      <c r="E288" s="9">
        <v>1</v>
      </c>
      <c r="F288" s="10" t="s">
        <v>67</v>
      </c>
      <c r="G288" s="10" t="s">
        <v>85</v>
      </c>
      <c r="H288" s="9">
        <v>62</v>
      </c>
      <c r="I288" s="9" t="s">
        <v>329</v>
      </c>
      <c r="J288" s="38">
        <f t="shared" si="43"/>
        <v>62</v>
      </c>
      <c r="K288" s="38">
        <f t="shared" si="44"/>
        <v>19.756666666666668</v>
      </c>
      <c r="L288" s="38">
        <f t="shared" si="45"/>
        <v>42.243333333333332</v>
      </c>
      <c r="M288" s="38">
        <v>58.99</v>
      </c>
      <c r="N288" s="38">
        <f t="shared" si="37"/>
        <v>19.756666666666668</v>
      </c>
      <c r="O288" s="38">
        <f t="shared" si="38"/>
        <v>39.233333333333334</v>
      </c>
      <c r="P288" s="38"/>
      <c r="Q288" s="38"/>
      <c r="R288" s="38">
        <f t="shared" si="46"/>
        <v>7.6720475785896287</v>
      </c>
      <c r="S288" s="9"/>
    </row>
    <row r="289" spans="1:19" x14ac:dyDescent="0.25">
      <c r="A289" s="5" t="s">
        <v>303</v>
      </c>
      <c r="B289" s="9" t="s">
        <v>28</v>
      </c>
      <c r="C289" s="9" t="s">
        <v>43</v>
      </c>
      <c r="D289" s="22">
        <v>45889</v>
      </c>
      <c r="E289" s="9">
        <v>4</v>
      </c>
      <c r="F289" s="9" t="s">
        <v>68</v>
      </c>
      <c r="G289" s="10" t="s">
        <v>74</v>
      </c>
      <c r="H289" s="9">
        <v>123</v>
      </c>
      <c r="I289" s="9" t="s">
        <v>330</v>
      </c>
      <c r="J289" s="38">
        <f t="shared" si="43"/>
        <v>123</v>
      </c>
      <c r="K289" s="38">
        <f t="shared" si="44"/>
        <v>19.756666666666668</v>
      </c>
      <c r="L289" s="38">
        <f t="shared" si="45"/>
        <v>103.24333333333334</v>
      </c>
      <c r="M289" s="38">
        <v>117.99</v>
      </c>
      <c r="N289" s="38">
        <f t="shared" si="37"/>
        <v>19.756666666666668</v>
      </c>
      <c r="O289" s="38">
        <f t="shared" si="38"/>
        <v>98.23333333333332</v>
      </c>
      <c r="P289" s="38">
        <v>3.5</v>
      </c>
      <c r="Q289" s="38"/>
      <c r="R289" s="38">
        <f t="shared" si="46"/>
        <v>5.1001017984391117</v>
      </c>
      <c r="S289" s="9"/>
    </row>
    <row r="290" spans="1:19" s="35" customFormat="1" ht="15.75" thickBot="1" x14ac:dyDescent="0.3">
      <c r="A290" s="19" t="s">
        <v>303</v>
      </c>
      <c r="B290" s="11" t="s">
        <v>30</v>
      </c>
      <c r="C290" s="11" t="s">
        <v>392</v>
      </c>
      <c r="D290" s="23">
        <v>45889</v>
      </c>
      <c r="E290" s="11">
        <v>2</v>
      </c>
      <c r="F290" s="14" t="s">
        <v>48</v>
      </c>
      <c r="G290" s="14" t="s">
        <v>116</v>
      </c>
      <c r="H290" s="11">
        <v>198</v>
      </c>
      <c r="I290" s="11" t="s">
        <v>343</v>
      </c>
      <c r="J290" s="41">
        <f t="shared" si="43"/>
        <v>198</v>
      </c>
      <c r="K290" s="41">
        <f t="shared" si="44"/>
        <v>19.756666666666668</v>
      </c>
      <c r="L290" s="41">
        <f t="shared" si="45"/>
        <v>178.24333333333334</v>
      </c>
      <c r="M290" s="41">
        <v>163.74</v>
      </c>
      <c r="N290" s="41">
        <f t="shared" si="37"/>
        <v>19.756666666666668</v>
      </c>
      <c r="O290" s="41">
        <f t="shared" si="38"/>
        <v>143.98333333333335</v>
      </c>
      <c r="P290" s="41"/>
      <c r="Q290" s="41"/>
      <c r="R290" s="41">
        <f t="shared" si="46"/>
        <v>23.794420650538246</v>
      </c>
      <c r="S290" s="11"/>
    </row>
    <row r="291" spans="1:19" x14ac:dyDescent="0.25">
      <c r="A291" s="20" t="s">
        <v>303</v>
      </c>
      <c r="B291" s="12" t="s">
        <v>30</v>
      </c>
      <c r="C291" s="12" t="s">
        <v>393</v>
      </c>
      <c r="D291" s="24">
        <v>45889</v>
      </c>
      <c r="E291" s="12">
        <v>2</v>
      </c>
      <c r="F291" s="13" t="s">
        <v>49</v>
      </c>
      <c r="G291" s="13" t="s">
        <v>116</v>
      </c>
      <c r="H291" s="12">
        <v>94</v>
      </c>
      <c r="I291" s="12" t="s">
        <v>344</v>
      </c>
      <c r="J291" s="40">
        <f t="shared" si="43"/>
        <v>94</v>
      </c>
      <c r="K291" s="40">
        <f t="shared" si="44"/>
        <v>19.756666666666668</v>
      </c>
      <c r="L291" s="40">
        <f t="shared" si="45"/>
        <v>74.243333333333339</v>
      </c>
      <c r="M291" s="40">
        <v>79.08</v>
      </c>
      <c r="N291" s="40">
        <f t="shared" si="37"/>
        <v>19.756666666666668</v>
      </c>
      <c r="O291" s="40">
        <f t="shared" si="38"/>
        <v>59.323333333333331</v>
      </c>
      <c r="P291" s="40"/>
      <c r="Q291" s="40"/>
      <c r="R291" s="40">
        <f t="shared" si="46"/>
        <v>25.150306231387326</v>
      </c>
      <c r="S291" s="12"/>
    </row>
    <row r="292" spans="1:19" x14ac:dyDescent="0.25">
      <c r="A292" s="5" t="s">
        <v>303</v>
      </c>
      <c r="B292" s="9" t="s">
        <v>30</v>
      </c>
      <c r="C292" s="9" t="s">
        <v>394</v>
      </c>
      <c r="D292" s="22">
        <v>45889</v>
      </c>
      <c r="E292" s="9">
        <v>2</v>
      </c>
      <c r="F292" s="10" t="s">
        <v>50</v>
      </c>
      <c r="G292" s="10" t="s">
        <v>116</v>
      </c>
      <c r="H292" s="9">
        <v>132</v>
      </c>
      <c r="I292" s="9" t="s">
        <v>345</v>
      </c>
      <c r="J292" s="38">
        <f t="shared" si="43"/>
        <v>132</v>
      </c>
      <c r="K292" s="38">
        <f t="shared" si="44"/>
        <v>19.756666666666668</v>
      </c>
      <c r="L292" s="38">
        <f t="shared" si="45"/>
        <v>112.24333333333334</v>
      </c>
      <c r="M292" s="38">
        <v>115.48</v>
      </c>
      <c r="N292" s="38">
        <f t="shared" si="37"/>
        <v>19.756666666666668</v>
      </c>
      <c r="O292" s="38">
        <f t="shared" si="38"/>
        <v>95.723333333333329</v>
      </c>
      <c r="P292" s="38"/>
      <c r="Q292" s="38"/>
      <c r="R292" s="38">
        <f t="shared" si="46"/>
        <v>17.258070132674035</v>
      </c>
      <c r="S292" s="9"/>
    </row>
    <row r="293" spans="1:19" x14ac:dyDescent="0.25">
      <c r="A293" s="5" t="s">
        <v>303</v>
      </c>
      <c r="B293" s="9" t="s">
        <v>30</v>
      </c>
      <c r="C293" s="9" t="s">
        <v>395</v>
      </c>
      <c r="D293" s="22">
        <v>45889</v>
      </c>
      <c r="E293" s="9">
        <v>2</v>
      </c>
      <c r="F293" s="10" t="s">
        <v>51</v>
      </c>
      <c r="G293" s="10" t="s">
        <v>116</v>
      </c>
      <c r="H293" s="9">
        <v>95</v>
      </c>
      <c r="I293" s="9" t="s">
        <v>346</v>
      </c>
      <c r="J293" s="38">
        <f t="shared" si="43"/>
        <v>95</v>
      </c>
      <c r="K293" s="38">
        <f t="shared" si="44"/>
        <v>19.756666666666668</v>
      </c>
      <c r="L293" s="38">
        <f t="shared" si="45"/>
        <v>75.243333333333339</v>
      </c>
      <c r="M293" s="38">
        <v>85.01</v>
      </c>
      <c r="N293" s="38">
        <f t="shared" si="37"/>
        <v>19.756666666666668</v>
      </c>
      <c r="O293" s="38">
        <f t="shared" si="38"/>
        <v>65.25333333333333</v>
      </c>
      <c r="P293" s="38"/>
      <c r="Q293" s="38"/>
      <c r="R293" s="38">
        <f t="shared" si="46"/>
        <v>15.309562729873329</v>
      </c>
      <c r="S293" s="9"/>
    </row>
    <row r="294" spans="1:19" ht="30" x14ac:dyDescent="0.25">
      <c r="A294" s="5" t="s">
        <v>303</v>
      </c>
      <c r="B294" s="9" t="s">
        <v>30</v>
      </c>
      <c r="C294" s="9" t="s">
        <v>396</v>
      </c>
      <c r="D294" s="22">
        <v>45889</v>
      </c>
      <c r="E294" s="9">
        <v>2</v>
      </c>
      <c r="F294" s="10" t="s">
        <v>52</v>
      </c>
      <c r="G294" s="10" t="s">
        <v>116</v>
      </c>
      <c r="H294" s="9">
        <v>115</v>
      </c>
      <c r="I294" s="9" t="s">
        <v>347</v>
      </c>
      <c r="J294" s="38">
        <f t="shared" si="43"/>
        <v>115</v>
      </c>
      <c r="K294" s="38">
        <f t="shared" si="44"/>
        <v>19.756666666666668</v>
      </c>
      <c r="L294" s="38">
        <f t="shared" si="45"/>
        <v>95.243333333333339</v>
      </c>
      <c r="M294" s="38">
        <v>98.94</v>
      </c>
      <c r="N294" s="38">
        <f t="shared" si="37"/>
        <v>19.756666666666668</v>
      </c>
      <c r="O294" s="38">
        <f t="shared" si="38"/>
        <v>79.183333333333337</v>
      </c>
      <c r="P294" s="38"/>
      <c r="Q294" s="38"/>
      <c r="R294" s="38">
        <f t="shared" si="46"/>
        <v>20.282045885076826</v>
      </c>
      <c r="S294" s="9"/>
    </row>
    <row r="295" spans="1:19" x14ac:dyDescent="0.25">
      <c r="A295" s="5" t="s">
        <v>303</v>
      </c>
      <c r="B295" s="9" t="s">
        <v>30</v>
      </c>
      <c r="C295" s="9" t="s">
        <v>397</v>
      </c>
      <c r="D295" s="22">
        <v>45889</v>
      </c>
      <c r="E295" s="9">
        <v>2</v>
      </c>
      <c r="F295" s="10" t="s">
        <v>53</v>
      </c>
      <c r="G295" s="10" t="s">
        <v>116</v>
      </c>
      <c r="H295" s="9">
        <v>107</v>
      </c>
      <c r="I295" s="9" t="s">
        <v>348</v>
      </c>
      <c r="J295" s="38">
        <f t="shared" si="43"/>
        <v>107</v>
      </c>
      <c r="K295" s="38">
        <f t="shared" si="44"/>
        <v>19.756666666666668</v>
      </c>
      <c r="L295" s="38">
        <f t="shared" si="45"/>
        <v>87.243333333333339</v>
      </c>
      <c r="M295" s="38">
        <v>94.56</v>
      </c>
      <c r="N295" s="38">
        <f t="shared" si="37"/>
        <v>19.756666666666668</v>
      </c>
      <c r="O295" s="38">
        <f t="shared" si="38"/>
        <v>74.803333333333342</v>
      </c>
      <c r="P295" s="38"/>
      <c r="Q295" s="38"/>
      <c r="R295" s="38">
        <f t="shared" si="46"/>
        <v>16.630274943184347</v>
      </c>
      <c r="S295" s="9"/>
    </row>
    <row r="296" spans="1:19" ht="30" x14ac:dyDescent="0.25">
      <c r="A296" s="5" t="s">
        <v>303</v>
      </c>
      <c r="B296" s="9" t="s">
        <v>30</v>
      </c>
      <c r="C296" s="9" t="s">
        <v>398</v>
      </c>
      <c r="D296" s="22">
        <v>45889</v>
      </c>
      <c r="E296" s="9">
        <v>2</v>
      </c>
      <c r="F296" s="10" t="s">
        <v>54</v>
      </c>
      <c r="G296" s="10" t="s">
        <v>116</v>
      </c>
      <c r="H296" s="9">
        <v>118</v>
      </c>
      <c r="I296" s="9" t="s">
        <v>349</v>
      </c>
      <c r="J296" s="38">
        <f t="shared" si="43"/>
        <v>118</v>
      </c>
      <c r="K296" s="38">
        <f t="shared" si="44"/>
        <v>19.756666666666668</v>
      </c>
      <c r="L296" s="38">
        <f t="shared" si="45"/>
        <v>98.243333333333339</v>
      </c>
      <c r="M296" s="38">
        <v>108.16</v>
      </c>
      <c r="N296" s="38">
        <f t="shared" si="37"/>
        <v>19.756666666666668</v>
      </c>
      <c r="O296" s="38">
        <f t="shared" si="38"/>
        <v>88.403333333333336</v>
      </c>
      <c r="P296" s="38"/>
      <c r="Q296" s="38"/>
      <c r="R296" s="38">
        <f t="shared" si="46"/>
        <v>11.130802005957547</v>
      </c>
      <c r="S296" s="9"/>
    </row>
    <row r="297" spans="1:19" x14ac:dyDescent="0.25">
      <c r="A297" s="5" t="s">
        <v>303</v>
      </c>
      <c r="B297" s="9" t="s">
        <v>30</v>
      </c>
      <c r="C297" s="9" t="s">
        <v>399</v>
      </c>
      <c r="D297" s="22">
        <v>45889</v>
      </c>
      <c r="E297" s="9">
        <v>2</v>
      </c>
      <c r="F297" s="10" t="s">
        <v>55</v>
      </c>
      <c r="G297" s="10" t="s">
        <v>85</v>
      </c>
      <c r="H297" s="9">
        <v>83</v>
      </c>
      <c r="I297" s="9" t="s">
        <v>350</v>
      </c>
      <c r="J297" s="38">
        <f t="shared" si="43"/>
        <v>83</v>
      </c>
      <c r="K297" s="38">
        <f t="shared" si="44"/>
        <v>19.756666666666668</v>
      </c>
      <c r="L297" s="38">
        <f t="shared" si="45"/>
        <v>63.243333333333332</v>
      </c>
      <c r="M297" s="38">
        <v>78.27</v>
      </c>
      <c r="N297" s="38">
        <f t="shared" si="37"/>
        <v>19.756666666666668</v>
      </c>
      <c r="O297" s="38">
        <f t="shared" si="38"/>
        <v>58.513333333333328</v>
      </c>
      <c r="P297" s="38"/>
      <c r="Q297" s="38"/>
      <c r="R297" s="38">
        <f t="shared" si="46"/>
        <v>8.0836276632106721</v>
      </c>
      <c r="S297" s="9"/>
    </row>
    <row r="298" spans="1:19" x14ac:dyDescent="0.25">
      <c r="A298" s="5" t="s">
        <v>303</v>
      </c>
      <c r="B298" s="9" t="s">
        <v>30</v>
      </c>
      <c r="C298" s="9" t="s">
        <v>400</v>
      </c>
      <c r="D298" s="22">
        <v>45889</v>
      </c>
      <c r="E298" s="9">
        <v>2</v>
      </c>
      <c r="F298" s="10" t="s">
        <v>56</v>
      </c>
      <c r="G298" s="10" t="s">
        <v>85</v>
      </c>
      <c r="H298" s="9">
        <v>103</v>
      </c>
      <c r="I298" s="9" t="s">
        <v>351</v>
      </c>
      <c r="J298" s="38">
        <f t="shared" si="43"/>
        <v>103</v>
      </c>
      <c r="K298" s="38">
        <f t="shared" si="44"/>
        <v>19.756666666666668</v>
      </c>
      <c r="L298" s="38">
        <f t="shared" si="45"/>
        <v>83.243333333333339</v>
      </c>
      <c r="M298" s="38">
        <v>97.41</v>
      </c>
      <c r="N298" s="38">
        <f t="shared" si="37"/>
        <v>19.756666666666668</v>
      </c>
      <c r="O298" s="38">
        <f t="shared" si="38"/>
        <v>77.653333333333336</v>
      </c>
      <c r="P298" s="38"/>
      <c r="Q298" s="38"/>
      <c r="R298" s="38">
        <f t="shared" si="46"/>
        <v>7.198660714285718</v>
      </c>
      <c r="S298" s="9"/>
    </row>
    <row r="299" spans="1:19" ht="30" x14ac:dyDescent="0.25">
      <c r="A299" s="5" t="s">
        <v>303</v>
      </c>
      <c r="B299" s="9" t="s">
        <v>30</v>
      </c>
      <c r="C299" s="9" t="s">
        <v>32</v>
      </c>
      <c r="D299" s="22">
        <v>45889</v>
      </c>
      <c r="E299" s="9">
        <v>2</v>
      </c>
      <c r="F299" s="10" t="s">
        <v>57</v>
      </c>
      <c r="G299" s="10" t="s">
        <v>85</v>
      </c>
      <c r="H299" s="9">
        <v>116</v>
      </c>
      <c r="I299" s="9" t="s">
        <v>352</v>
      </c>
      <c r="J299" s="38">
        <f t="shared" si="43"/>
        <v>116</v>
      </c>
      <c r="K299" s="38">
        <f t="shared" si="44"/>
        <v>19.756666666666668</v>
      </c>
      <c r="L299" s="38">
        <f t="shared" si="45"/>
        <v>96.243333333333339</v>
      </c>
      <c r="M299" s="38">
        <v>108.74</v>
      </c>
      <c r="N299" s="38">
        <f t="shared" si="37"/>
        <v>19.756666666666668</v>
      </c>
      <c r="O299" s="38">
        <f t="shared" si="38"/>
        <v>88.98333333333332</v>
      </c>
      <c r="P299" s="38"/>
      <c r="Q299" s="38"/>
      <c r="R299" s="38">
        <f t="shared" si="46"/>
        <v>8.1588312418056042</v>
      </c>
      <c r="S299" s="9"/>
    </row>
    <row r="300" spans="1:19" x14ac:dyDescent="0.25">
      <c r="A300" s="5" t="s">
        <v>303</v>
      </c>
      <c r="B300" s="9" t="s">
        <v>30</v>
      </c>
      <c r="C300" s="9" t="s">
        <v>33</v>
      </c>
      <c r="D300" s="22">
        <v>45889</v>
      </c>
      <c r="E300" s="9">
        <v>1</v>
      </c>
      <c r="F300" s="10" t="s">
        <v>58</v>
      </c>
      <c r="G300" s="10" t="s">
        <v>85</v>
      </c>
      <c r="H300" s="9">
        <v>79</v>
      </c>
      <c r="I300" s="9" t="s">
        <v>353</v>
      </c>
      <c r="J300" s="38">
        <f t="shared" si="43"/>
        <v>79</v>
      </c>
      <c r="K300" s="38">
        <f t="shared" si="44"/>
        <v>19.756666666666668</v>
      </c>
      <c r="L300" s="38">
        <f t="shared" si="45"/>
        <v>59.243333333333332</v>
      </c>
      <c r="M300" s="38">
        <v>71.209999999999994</v>
      </c>
      <c r="N300" s="38">
        <f t="shared" si="37"/>
        <v>19.756666666666668</v>
      </c>
      <c r="O300" s="38">
        <f t="shared" si="38"/>
        <v>51.453333333333326</v>
      </c>
      <c r="P300" s="38"/>
      <c r="Q300" s="38"/>
      <c r="R300" s="38">
        <f t="shared" si="46"/>
        <v>15.139932625032406</v>
      </c>
      <c r="S300" s="9"/>
    </row>
    <row r="301" spans="1:19" x14ac:dyDescent="0.25">
      <c r="A301" s="5" t="s">
        <v>303</v>
      </c>
      <c r="B301" s="9" t="s">
        <v>30</v>
      </c>
      <c r="C301" s="9" t="s">
        <v>34</v>
      </c>
      <c r="D301" s="22">
        <v>45889</v>
      </c>
      <c r="E301" s="9">
        <v>1</v>
      </c>
      <c r="F301" s="10" t="s">
        <v>59</v>
      </c>
      <c r="G301" s="10" t="s">
        <v>85</v>
      </c>
      <c r="H301" s="9">
        <v>96</v>
      </c>
      <c r="I301" s="9" t="s">
        <v>354</v>
      </c>
      <c r="J301" s="38">
        <f t="shared" ref="J301:J332" si="47">H301</f>
        <v>96</v>
      </c>
      <c r="K301" s="38">
        <f t="shared" ref="K301:K332" si="48">AVERAGE(19.9,19.77,19.6)</f>
        <v>19.756666666666668</v>
      </c>
      <c r="L301" s="38">
        <f t="shared" ref="L301:L332" si="49">J301-K301</f>
        <v>76.243333333333339</v>
      </c>
      <c r="M301" s="38">
        <v>87.92</v>
      </c>
      <c r="N301" s="38">
        <f t="shared" si="37"/>
        <v>19.756666666666668</v>
      </c>
      <c r="O301" s="38">
        <f t="shared" si="38"/>
        <v>68.163333333333327</v>
      </c>
      <c r="P301" s="38"/>
      <c r="Q301" s="38"/>
      <c r="R301" s="38">
        <f t="shared" ref="R301:R332" si="50">((L301-O301)/O301)*100</f>
        <v>11.853880385348937</v>
      </c>
      <c r="S301" s="9"/>
    </row>
    <row r="302" spans="1:19" x14ac:dyDescent="0.25">
      <c r="A302" s="5" t="s">
        <v>303</v>
      </c>
      <c r="B302" s="9" t="s">
        <v>30</v>
      </c>
      <c r="C302" s="9" t="s">
        <v>35</v>
      </c>
      <c r="D302" s="22">
        <v>45889</v>
      </c>
      <c r="E302" s="9">
        <v>1</v>
      </c>
      <c r="F302" s="10" t="s">
        <v>60</v>
      </c>
      <c r="G302" s="10" t="s">
        <v>85</v>
      </c>
      <c r="H302" s="9">
        <v>80</v>
      </c>
      <c r="I302" s="9" t="s">
        <v>355</v>
      </c>
      <c r="J302" s="38">
        <f t="shared" si="47"/>
        <v>80</v>
      </c>
      <c r="K302" s="38">
        <f t="shared" si="48"/>
        <v>19.756666666666668</v>
      </c>
      <c r="L302" s="38">
        <f t="shared" si="49"/>
        <v>60.243333333333332</v>
      </c>
      <c r="M302" s="38">
        <v>73.989999999999995</v>
      </c>
      <c r="N302" s="38">
        <f t="shared" si="37"/>
        <v>19.756666666666668</v>
      </c>
      <c r="O302" s="38">
        <f t="shared" si="38"/>
        <v>54.233333333333327</v>
      </c>
      <c r="P302" s="38"/>
      <c r="Q302" s="38"/>
      <c r="R302" s="38">
        <f t="shared" si="50"/>
        <v>11.081745543945923</v>
      </c>
      <c r="S302" s="9"/>
    </row>
    <row r="303" spans="1:19" x14ac:dyDescent="0.25">
      <c r="A303" s="5" t="s">
        <v>303</v>
      </c>
      <c r="B303" s="9" t="s">
        <v>30</v>
      </c>
      <c r="C303" s="9" t="s">
        <v>36</v>
      </c>
      <c r="D303" s="22">
        <v>45889</v>
      </c>
      <c r="E303" s="9">
        <v>1</v>
      </c>
      <c r="F303" s="10" t="s">
        <v>61</v>
      </c>
      <c r="G303" s="10" t="s">
        <v>85</v>
      </c>
      <c r="H303" s="9">
        <v>67</v>
      </c>
      <c r="I303" s="9" t="s">
        <v>356</v>
      </c>
      <c r="J303" s="38">
        <f t="shared" si="47"/>
        <v>67</v>
      </c>
      <c r="K303" s="38">
        <f t="shared" si="48"/>
        <v>19.756666666666668</v>
      </c>
      <c r="L303" s="38">
        <f t="shared" si="49"/>
        <v>47.243333333333332</v>
      </c>
      <c r="M303" s="38">
        <v>62.13</v>
      </c>
      <c r="N303" s="38">
        <f t="shared" si="37"/>
        <v>19.756666666666668</v>
      </c>
      <c r="O303" s="38">
        <f t="shared" si="38"/>
        <v>42.373333333333335</v>
      </c>
      <c r="P303" s="38"/>
      <c r="Q303" s="38"/>
      <c r="R303" s="38">
        <f t="shared" si="50"/>
        <v>11.493077407174317</v>
      </c>
      <c r="S303" s="9"/>
    </row>
    <row r="304" spans="1:19" ht="30" x14ac:dyDescent="0.25">
      <c r="A304" s="5" t="s">
        <v>303</v>
      </c>
      <c r="B304" s="9" t="s">
        <v>30</v>
      </c>
      <c r="C304" s="9" t="s">
        <v>37</v>
      </c>
      <c r="D304" s="22">
        <v>45889</v>
      </c>
      <c r="E304" s="9">
        <v>1</v>
      </c>
      <c r="F304" s="10" t="s">
        <v>62</v>
      </c>
      <c r="G304" s="10" t="s">
        <v>85</v>
      </c>
      <c r="H304" s="9">
        <v>72</v>
      </c>
      <c r="I304" s="9" t="s">
        <v>357</v>
      </c>
      <c r="J304" s="38">
        <f t="shared" si="47"/>
        <v>72</v>
      </c>
      <c r="K304" s="38">
        <f t="shared" si="48"/>
        <v>19.756666666666668</v>
      </c>
      <c r="L304" s="38">
        <f t="shared" si="49"/>
        <v>52.243333333333332</v>
      </c>
      <c r="M304" s="38">
        <v>66.09</v>
      </c>
      <c r="N304" s="38">
        <f t="shared" si="37"/>
        <v>19.756666666666668</v>
      </c>
      <c r="O304" s="38">
        <f t="shared" si="38"/>
        <v>46.333333333333336</v>
      </c>
      <c r="P304" s="38"/>
      <c r="Q304" s="38"/>
      <c r="R304" s="38">
        <f t="shared" si="50"/>
        <v>12.75539568345323</v>
      </c>
      <c r="S304" s="9"/>
    </row>
    <row r="305" spans="1:19" ht="30" x14ac:dyDescent="0.25">
      <c r="A305" s="5" t="s">
        <v>303</v>
      </c>
      <c r="B305" s="9" t="s">
        <v>30</v>
      </c>
      <c r="C305" s="9" t="s">
        <v>38</v>
      </c>
      <c r="D305" s="22">
        <v>45889</v>
      </c>
      <c r="E305" s="9">
        <v>1</v>
      </c>
      <c r="F305" s="10" t="s">
        <v>63</v>
      </c>
      <c r="G305" s="10" t="s">
        <v>85</v>
      </c>
      <c r="H305" s="9">
        <v>88</v>
      </c>
      <c r="I305" s="9" t="s">
        <v>358</v>
      </c>
      <c r="J305" s="38">
        <f t="shared" si="47"/>
        <v>88</v>
      </c>
      <c r="K305" s="38">
        <f t="shared" si="48"/>
        <v>19.756666666666668</v>
      </c>
      <c r="L305" s="38">
        <f t="shared" si="49"/>
        <v>68.243333333333339</v>
      </c>
      <c r="M305" s="38">
        <v>81.34</v>
      </c>
      <c r="N305" s="38">
        <f t="shared" si="37"/>
        <v>19.756666666666668</v>
      </c>
      <c r="O305" s="38">
        <f t="shared" si="38"/>
        <v>61.583333333333336</v>
      </c>
      <c r="P305" s="38"/>
      <c r="Q305" s="38"/>
      <c r="R305" s="38">
        <f t="shared" si="50"/>
        <v>10.814614343707719</v>
      </c>
      <c r="S305" s="9"/>
    </row>
    <row r="306" spans="1:19" ht="30" x14ac:dyDescent="0.25">
      <c r="A306" s="5" t="s">
        <v>303</v>
      </c>
      <c r="B306" s="9" t="s">
        <v>30</v>
      </c>
      <c r="C306" s="9" t="s">
        <v>39</v>
      </c>
      <c r="D306" s="22">
        <v>45889</v>
      </c>
      <c r="E306" s="9">
        <v>1</v>
      </c>
      <c r="F306" s="10" t="s">
        <v>64</v>
      </c>
      <c r="G306" s="10" t="s">
        <v>85</v>
      </c>
      <c r="H306" s="9">
        <v>70</v>
      </c>
      <c r="I306" s="9" t="s">
        <v>359</v>
      </c>
      <c r="J306" s="38">
        <f t="shared" si="47"/>
        <v>70</v>
      </c>
      <c r="K306" s="38">
        <f t="shared" si="48"/>
        <v>19.756666666666668</v>
      </c>
      <c r="L306" s="38">
        <f t="shared" si="49"/>
        <v>50.243333333333332</v>
      </c>
      <c r="M306" s="38">
        <v>62.64</v>
      </c>
      <c r="N306" s="38">
        <f t="shared" si="37"/>
        <v>19.756666666666668</v>
      </c>
      <c r="O306" s="38">
        <f t="shared" si="38"/>
        <v>42.883333333333333</v>
      </c>
      <c r="P306" s="38"/>
      <c r="Q306" s="38"/>
      <c r="R306" s="38">
        <f t="shared" si="50"/>
        <v>17.162844928099492</v>
      </c>
      <c r="S306" s="9"/>
    </row>
    <row r="307" spans="1:19" x14ac:dyDescent="0.25">
      <c r="A307" s="5" t="s">
        <v>303</v>
      </c>
      <c r="B307" s="9" t="s">
        <v>30</v>
      </c>
      <c r="C307" s="9" t="s">
        <v>40</v>
      </c>
      <c r="D307" s="22">
        <v>45889</v>
      </c>
      <c r="E307" s="9">
        <v>1</v>
      </c>
      <c r="F307" s="10" t="s">
        <v>65</v>
      </c>
      <c r="G307" s="10" t="s">
        <v>85</v>
      </c>
      <c r="H307" s="9">
        <v>76</v>
      </c>
      <c r="I307" s="9" t="s">
        <v>330</v>
      </c>
      <c r="J307" s="38">
        <f t="shared" si="47"/>
        <v>76</v>
      </c>
      <c r="K307" s="38">
        <f t="shared" si="48"/>
        <v>19.756666666666668</v>
      </c>
      <c r="L307" s="38">
        <f t="shared" si="49"/>
        <v>56.243333333333332</v>
      </c>
      <c r="M307" s="38">
        <v>66.430000000000007</v>
      </c>
      <c r="N307" s="38">
        <f t="shared" si="37"/>
        <v>19.756666666666668</v>
      </c>
      <c r="O307" s="38">
        <f t="shared" si="38"/>
        <v>46.673333333333339</v>
      </c>
      <c r="P307" s="38"/>
      <c r="Q307" s="38"/>
      <c r="R307" s="38">
        <f t="shared" si="50"/>
        <v>20.504213683759446</v>
      </c>
      <c r="S307" s="9"/>
    </row>
    <row r="308" spans="1:19" x14ac:dyDescent="0.25">
      <c r="A308" s="5" t="s">
        <v>303</v>
      </c>
      <c r="B308" s="9" t="s">
        <v>30</v>
      </c>
      <c r="C308" s="9" t="s">
        <v>41</v>
      </c>
      <c r="D308" s="22">
        <v>45889</v>
      </c>
      <c r="E308" s="9">
        <v>1</v>
      </c>
      <c r="F308" s="10" t="s">
        <v>66</v>
      </c>
      <c r="G308" s="10" t="s">
        <v>85</v>
      </c>
      <c r="H308" s="9">
        <v>63</v>
      </c>
      <c r="I308" s="9" t="s">
        <v>360</v>
      </c>
      <c r="J308" s="38">
        <f t="shared" si="47"/>
        <v>63</v>
      </c>
      <c r="K308" s="38">
        <f t="shared" si="48"/>
        <v>19.756666666666668</v>
      </c>
      <c r="L308" s="38">
        <f t="shared" si="49"/>
        <v>43.243333333333332</v>
      </c>
      <c r="M308" s="38">
        <v>56.24</v>
      </c>
      <c r="N308" s="38">
        <f t="shared" si="37"/>
        <v>19.756666666666668</v>
      </c>
      <c r="O308" s="38">
        <f t="shared" si="38"/>
        <v>36.483333333333334</v>
      </c>
      <c r="P308" s="38"/>
      <c r="Q308" s="38"/>
      <c r="R308" s="38">
        <f t="shared" si="50"/>
        <v>18.529008679762445</v>
      </c>
      <c r="S308" s="9"/>
    </row>
    <row r="309" spans="1:19" x14ac:dyDescent="0.25">
      <c r="A309" s="5" t="s">
        <v>303</v>
      </c>
      <c r="B309" s="9" t="s">
        <v>30</v>
      </c>
      <c r="C309" s="9" t="s">
        <v>42</v>
      </c>
      <c r="D309" s="22">
        <v>45889</v>
      </c>
      <c r="E309" s="9">
        <v>1</v>
      </c>
      <c r="F309" s="10" t="s">
        <v>67</v>
      </c>
      <c r="G309" s="10" t="s">
        <v>74</v>
      </c>
      <c r="H309" s="9">
        <v>64</v>
      </c>
      <c r="I309" s="9" t="s">
        <v>361</v>
      </c>
      <c r="J309" s="38">
        <f t="shared" si="47"/>
        <v>64</v>
      </c>
      <c r="K309" s="38">
        <f t="shared" si="48"/>
        <v>19.756666666666668</v>
      </c>
      <c r="L309" s="38">
        <f t="shared" si="49"/>
        <v>44.243333333333332</v>
      </c>
      <c r="M309" s="38">
        <v>59.9</v>
      </c>
      <c r="N309" s="38">
        <f t="shared" si="37"/>
        <v>19.756666666666668</v>
      </c>
      <c r="O309" s="38">
        <f t="shared" si="38"/>
        <v>40.143333333333331</v>
      </c>
      <c r="P309" s="38"/>
      <c r="Q309" s="38"/>
      <c r="R309" s="38">
        <f t="shared" si="50"/>
        <v>10.213401976251768</v>
      </c>
      <c r="S309" s="9"/>
    </row>
    <row r="310" spans="1:19" x14ac:dyDescent="0.25">
      <c r="A310" s="5" t="s">
        <v>303</v>
      </c>
      <c r="B310" s="9" t="s">
        <v>30</v>
      </c>
      <c r="C310" s="9" t="s">
        <v>44</v>
      </c>
      <c r="D310" s="22">
        <v>45889</v>
      </c>
      <c r="E310" s="37"/>
      <c r="F310" s="9" t="s">
        <v>68</v>
      </c>
      <c r="G310" s="10" t="s">
        <v>74</v>
      </c>
      <c r="H310" s="9">
        <v>110</v>
      </c>
      <c r="I310" s="9" t="s">
        <v>362</v>
      </c>
      <c r="J310" s="38">
        <f t="shared" si="47"/>
        <v>110</v>
      </c>
      <c r="K310" s="38">
        <f t="shared" si="48"/>
        <v>19.756666666666668</v>
      </c>
      <c r="L310" s="38">
        <f t="shared" si="49"/>
        <v>90.243333333333339</v>
      </c>
      <c r="M310" s="38">
        <v>96.46</v>
      </c>
      <c r="N310" s="38">
        <f t="shared" si="37"/>
        <v>19.756666666666668</v>
      </c>
      <c r="O310" s="38">
        <f t="shared" si="38"/>
        <v>76.703333333333319</v>
      </c>
      <c r="P310" s="38" t="s">
        <v>376</v>
      </c>
      <c r="Q310" s="38"/>
      <c r="R310" s="38">
        <f t="shared" si="50"/>
        <v>17.652427100082598</v>
      </c>
      <c r="S310" s="9" t="s">
        <v>382</v>
      </c>
    </row>
    <row r="311" spans="1:19" s="35" customFormat="1" ht="15.75" thickBot="1" x14ac:dyDescent="0.3">
      <c r="A311" s="19" t="s">
        <v>303</v>
      </c>
      <c r="B311" s="11" t="s">
        <v>30</v>
      </c>
      <c r="C311" s="11" t="s">
        <v>45</v>
      </c>
      <c r="D311" s="23">
        <v>45889</v>
      </c>
      <c r="E311" s="36"/>
      <c r="F311" s="11" t="s">
        <v>68</v>
      </c>
      <c r="G311" s="14" t="s">
        <v>74</v>
      </c>
      <c r="H311" s="11">
        <v>119</v>
      </c>
      <c r="I311" s="11" t="s">
        <v>362</v>
      </c>
      <c r="J311" s="41">
        <f t="shared" si="47"/>
        <v>119</v>
      </c>
      <c r="K311" s="41">
        <f t="shared" si="48"/>
        <v>19.756666666666668</v>
      </c>
      <c r="L311" s="41">
        <f t="shared" si="49"/>
        <v>99.243333333333339</v>
      </c>
      <c r="M311" s="41">
        <v>102.12</v>
      </c>
      <c r="N311" s="41">
        <f t="shared" si="37"/>
        <v>19.756666666666668</v>
      </c>
      <c r="O311" s="41">
        <f t="shared" si="38"/>
        <v>82.363333333333344</v>
      </c>
      <c r="P311" s="41">
        <v>4</v>
      </c>
      <c r="Q311" s="41"/>
      <c r="R311" s="41">
        <f t="shared" si="50"/>
        <v>20.494556639281225</v>
      </c>
      <c r="S311" s="11" t="s">
        <v>382</v>
      </c>
    </row>
    <row r="312" spans="1:19" x14ac:dyDescent="0.25">
      <c r="A312" s="20" t="s">
        <v>303</v>
      </c>
      <c r="B312" s="12" t="s">
        <v>27</v>
      </c>
      <c r="C312" s="12" t="s">
        <v>392</v>
      </c>
      <c r="D312" s="24">
        <v>45889</v>
      </c>
      <c r="E312" s="12">
        <v>2</v>
      </c>
      <c r="F312" s="13" t="s">
        <v>48</v>
      </c>
      <c r="G312" s="13" t="s">
        <v>71</v>
      </c>
      <c r="H312" s="12">
        <v>136</v>
      </c>
      <c r="I312" s="12" t="s">
        <v>304</v>
      </c>
      <c r="J312" s="40">
        <f t="shared" si="47"/>
        <v>136</v>
      </c>
      <c r="K312" s="40">
        <f t="shared" si="48"/>
        <v>19.756666666666668</v>
      </c>
      <c r="L312" s="40">
        <f t="shared" si="49"/>
        <v>116.24333333333334</v>
      </c>
      <c r="M312" s="40">
        <v>129</v>
      </c>
      <c r="N312" s="40">
        <f t="shared" ref="N312:N376" si="51">AVERAGE(19.9,19.77,19.6)</f>
        <v>19.756666666666668</v>
      </c>
      <c r="O312" s="40">
        <f t="shared" ref="O312:O375" si="52">M312-N312</f>
        <v>109.24333333333334</v>
      </c>
      <c r="P312" s="40"/>
      <c r="Q312" s="40"/>
      <c r="R312" s="40">
        <f t="shared" si="50"/>
        <v>6.4077136667378634</v>
      </c>
      <c r="S312" s="12"/>
    </row>
    <row r="313" spans="1:19" x14ac:dyDescent="0.25">
      <c r="A313" s="5" t="s">
        <v>303</v>
      </c>
      <c r="B313" s="9" t="s">
        <v>27</v>
      </c>
      <c r="C313" s="9" t="s">
        <v>393</v>
      </c>
      <c r="D313" s="22">
        <v>45889</v>
      </c>
      <c r="E313" s="9">
        <v>2</v>
      </c>
      <c r="F313" s="10" t="s">
        <v>49</v>
      </c>
      <c r="G313" s="10" t="s">
        <v>71</v>
      </c>
      <c r="H313" s="9">
        <v>120</v>
      </c>
      <c r="I313" s="9" t="s">
        <v>304</v>
      </c>
      <c r="J313" s="38">
        <f t="shared" si="47"/>
        <v>120</v>
      </c>
      <c r="K313" s="38">
        <f t="shared" si="48"/>
        <v>19.756666666666668</v>
      </c>
      <c r="L313" s="38">
        <f t="shared" si="49"/>
        <v>100.24333333333334</v>
      </c>
      <c r="M313" s="38">
        <v>113.74</v>
      </c>
      <c r="N313" s="38">
        <f t="shared" si="51"/>
        <v>19.756666666666668</v>
      </c>
      <c r="O313" s="38">
        <f t="shared" si="52"/>
        <v>93.98333333333332</v>
      </c>
      <c r="P313" s="38"/>
      <c r="Q313" s="38"/>
      <c r="R313" s="38">
        <f t="shared" si="50"/>
        <v>6.6607554530945414</v>
      </c>
      <c r="S313" s="9"/>
    </row>
    <row r="314" spans="1:19" x14ac:dyDescent="0.25">
      <c r="A314" s="5" t="s">
        <v>303</v>
      </c>
      <c r="B314" s="9" t="s">
        <v>27</v>
      </c>
      <c r="C314" s="9" t="s">
        <v>394</v>
      </c>
      <c r="D314" s="22">
        <v>45889</v>
      </c>
      <c r="E314" s="9">
        <v>2</v>
      </c>
      <c r="F314" s="10" t="s">
        <v>50</v>
      </c>
      <c r="G314" s="10" t="s">
        <v>71</v>
      </c>
      <c r="H314" s="9">
        <v>124</v>
      </c>
      <c r="I314" s="9" t="s">
        <v>305</v>
      </c>
      <c r="J314" s="38">
        <f t="shared" si="47"/>
        <v>124</v>
      </c>
      <c r="K314" s="38">
        <f t="shared" si="48"/>
        <v>19.756666666666668</v>
      </c>
      <c r="L314" s="38">
        <f t="shared" si="49"/>
        <v>104.24333333333334</v>
      </c>
      <c r="M314" s="38">
        <v>118.48</v>
      </c>
      <c r="N314" s="38">
        <f t="shared" si="51"/>
        <v>19.756666666666668</v>
      </c>
      <c r="O314" s="38">
        <f t="shared" si="52"/>
        <v>98.723333333333329</v>
      </c>
      <c r="P314" s="38"/>
      <c r="Q314" s="38"/>
      <c r="R314" s="38">
        <f t="shared" si="50"/>
        <v>5.5913833271432054</v>
      </c>
      <c r="S314" s="9"/>
    </row>
    <row r="315" spans="1:19" x14ac:dyDescent="0.25">
      <c r="A315" s="5" t="s">
        <v>303</v>
      </c>
      <c r="B315" s="9" t="s">
        <v>27</v>
      </c>
      <c r="C315" s="9" t="s">
        <v>395</v>
      </c>
      <c r="D315" s="22">
        <v>45889</v>
      </c>
      <c r="E315" s="9">
        <v>2</v>
      </c>
      <c r="F315" s="10" t="s">
        <v>51</v>
      </c>
      <c r="G315" s="10" t="s">
        <v>74</v>
      </c>
      <c r="H315" s="9">
        <v>116</v>
      </c>
      <c r="I315" s="9" t="s">
        <v>304</v>
      </c>
      <c r="J315" s="38">
        <f t="shared" si="47"/>
        <v>116</v>
      </c>
      <c r="K315" s="38">
        <f t="shared" si="48"/>
        <v>19.756666666666668</v>
      </c>
      <c r="L315" s="38">
        <f t="shared" si="49"/>
        <v>96.243333333333339</v>
      </c>
      <c r="M315" s="38">
        <v>110.7</v>
      </c>
      <c r="N315" s="38">
        <f t="shared" si="51"/>
        <v>19.756666666666668</v>
      </c>
      <c r="O315" s="38">
        <f t="shared" si="52"/>
        <v>90.943333333333328</v>
      </c>
      <c r="P315" s="38"/>
      <c r="Q315" s="38"/>
      <c r="R315" s="38">
        <f t="shared" si="50"/>
        <v>5.8278048601693495</v>
      </c>
      <c r="S315" s="9"/>
    </row>
    <row r="316" spans="1:19" x14ac:dyDescent="0.25">
      <c r="A316" s="5" t="s">
        <v>303</v>
      </c>
      <c r="B316" s="9" t="s">
        <v>27</v>
      </c>
      <c r="C316" s="9" t="s">
        <v>396</v>
      </c>
      <c r="D316" s="22">
        <v>45889</v>
      </c>
      <c r="E316" s="9">
        <v>2</v>
      </c>
      <c r="F316" s="10" t="s">
        <v>52</v>
      </c>
      <c r="G316" s="10" t="s">
        <v>74</v>
      </c>
      <c r="H316" s="9">
        <v>114</v>
      </c>
      <c r="I316" s="9" t="s">
        <v>304</v>
      </c>
      <c r="J316" s="38">
        <f t="shared" si="47"/>
        <v>114</v>
      </c>
      <c r="K316" s="38">
        <f t="shared" si="48"/>
        <v>19.756666666666668</v>
      </c>
      <c r="L316" s="38">
        <f t="shared" si="49"/>
        <v>94.243333333333339</v>
      </c>
      <c r="M316" s="38">
        <v>108.88</v>
      </c>
      <c r="N316" s="38">
        <f t="shared" si="51"/>
        <v>19.756666666666668</v>
      </c>
      <c r="O316" s="38">
        <f t="shared" si="52"/>
        <v>89.123333333333335</v>
      </c>
      <c r="P316" s="38"/>
      <c r="Q316" s="38"/>
      <c r="R316" s="38">
        <f t="shared" si="50"/>
        <v>5.7448479634962837</v>
      </c>
      <c r="S316" s="9"/>
    </row>
    <row r="317" spans="1:19" x14ac:dyDescent="0.25">
      <c r="A317" s="5" t="s">
        <v>303</v>
      </c>
      <c r="B317" s="9" t="s">
        <v>27</v>
      </c>
      <c r="C317" s="9" t="s">
        <v>397</v>
      </c>
      <c r="D317" s="22">
        <v>45889</v>
      </c>
      <c r="E317" s="9">
        <v>2</v>
      </c>
      <c r="F317" s="10" t="s">
        <v>53</v>
      </c>
      <c r="G317" s="10" t="s">
        <v>74</v>
      </c>
      <c r="H317" s="9">
        <v>123</v>
      </c>
      <c r="I317" s="9" t="s">
        <v>262</v>
      </c>
      <c r="J317" s="38">
        <f t="shared" si="47"/>
        <v>123</v>
      </c>
      <c r="K317" s="38">
        <f t="shared" si="48"/>
        <v>19.756666666666668</v>
      </c>
      <c r="L317" s="38">
        <f t="shared" si="49"/>
        <v>103.24333333333334</v>
      </c>
      <c r="M317" s="38">
        <v>117.12</v>
      </c>
      <c r="N317" s="38">
        <f t="shared" si="51"/>
        <v>19.756666666666668</v>
      </c>
      <c r="O317" s="38">
        <f t="shared" si="52"/>
        <v>97.363333333333344</v>
      </c>
      <c r="P317" s="38"/>
      <c r="Q317" s="38"/>
      <c r="R317" s="38">
        <f t="shared" si="50"/>
        <v>6.0392344825225051</v>
      </c>
      <c r="S317" s="9"/>
    </row>
    <row r="318" spans="1:19" x14ac:dyDescent="0.25">
      <c r="A318" s="5" t="s">
        <v>303</v>
      </c>
      <c r="B318" s="9" t="s">
        <v>27</v>
      </c>
      <c r="C318" s="9" t="s">
        <v>398</v>
      </c>
      <c r="D318" s="22">
        <v>45889</v>
      </c>
      <c r="E318" s="9">
        <v>2</v>
      </c>
      <c r="F318" s="10" t="s">
        <v>54</v>
      </c>
      <c r="G318" s="10" t="s">
        <v>74</v>
      </c>
      <c r="H318" s="9">
        <v>123</v>
      </c>
      <c r="I318" s="9" t="s">
        <v>306</v>
      </c>
      <c r="J318" s="38">
        <f t="shared" si="47"/>
        <v>123</v>
      </c>
      <c r="K318" s="38">
        <f t="shared" si="48"/>
        <v>19.756666666666668</v>
      </c>
      <c r="L318" s="38">
        <f t="shared" si="49"/>
        <v>103.24333333333334</v>
      </c>
      <c r="M318" s="38">
        <v>117.04</v>
      </c>
      <c r="N318" s="38">
        <f t="shared" si="51"/>
        <v>19.756666666666668</v>
      </c>
      <c r="O318" s="38">
        <f t="shared" si="52"/>
        <v>97.283333333333331</v>
      </c>
      <c r="P318" s="38"/>
      <c r="Q318" s="38"/>
      <c r="R318" s="38">
        <f t="shared" si="50"/>
        <v>6.1264348124036401</v>
      </c>
      <c r="S318" s="9"/>
    </row>
    <row r="319" spans="1:19" x14ac:dyDescent="0.25">
      <c r="A319" s="5" t="s">
        <v>303</v>
      </c>
      <c r="B319" s="9" t="s">
        <v>27</v>
      </c>
      <c r="C319" s="9" t="s">
        <v>399</v>
      </c>
      <c r="D319" s="22">
        <v>45889</v>
      </c>
      <c r="E319" s="9">
        <v>2</v>
      </c>
      <c r="F319" s="10" t="s">
        <v>55</v>
      </c>
      <c r="G319" s="10" t="s">
        <v>74</v>
      </c>
      <c r="H319" s="9">
        <v>113</v>
      </c>
      <c r="I319" s="9" t="s">
        <v>307</v>
      </c>
      <c r="J319" s="38">
        <f t="shared" si="47"/>
        <v>113</v>
      </c>
      <c r="K319" s="38">
        <f t="shared" si="48"/>
        <v>19.756666666666668</v>
      </c>
      <c r="L319" s="38">
        <f t="shared" si="49"/>
        <v>93.243333333333339</v>
      </c>
      <c r="M319" s="38">
        <v>108.05</v>
      </c>
      <c r="N319" s="38">
        <f t="shared" si="51"/>
        <v>19.756666666666668</v>
      </c>
      <c r="O319" s="38">
        <f t="shared" si="52"/>
        <v>88.293333333333322</v>
      </c>
      <c r="P319" s="38"/>
      <c r="Q319" s="38"/>
      <c r="R319" s="38">
        <f t="shared" si="50"/>
        <v>5.6063122923588242</v>
      </c>
      <c r="S319" s="9"/>
    </row>
    <row r="320" spans="1:19" x14ac:dyDescent="0.25">
      <c r="A320" s="5" t="s">
        <v>303</v>
      </c>
      <c r="B320" s="9" t="s">
        <v>27</v>
      </c>
      <c r="C320" s="9" t="s">
        <v>400</v>
      </c>
      <c r="D320" s="22">
        <v>45889</v>
      </c>
      <c r="E320" s="9">
        <v>2</v>
      </c>
      <c r="F320" s="10" t="s">
        <v>56</v>
      </c>
      <c r="G320" s="10" t="s">
        <v>85</v>
      </c>
      <c r="H320" s="9">
        <v>104</v>
      </c>
      <c r="I320" s="9" t="s">
        <v>308</v>
      </c>
      <c r="J320" s="38">
        <f t="shared" si="47"/>
        <v>104</v>
      </c>
      <c r="K320" s="38">
        <f t="shared" si="48"/>
        <v>19.756666666666668</v>
      </c>
      <c r="L320" s="38">
        <f t="shared" si="49"/>
        <v>84.243333333333339</v>
      </c>
      <c r="M320" s="38">
        <v>95.51</v>
      </c>
      <c r="N320" s="38">
        <f t="shared" si="51"/>
        <v>19.756666666666668</v>
      </c>
      <c r="O320" s="38">
        <f t="shared" si="52"/>
        <v>75.75333333333333</v>
      </c>
      <c r="P320" s="38"/>
      <c r="Q320" s="38"/>
      <c r="R320" s="38">
        <f t="shared" si="50"/>
        <v>11.207427615946505</v>
      </c>
      <c r="S320" s="9"/>
    </row>
    <row r="321" spans="1:19" ht="30" x14ac:dyDescent="0.25">
      <c r="A321" s="5" t="s">
        <v>303</v>
      </c>
      <c r="B321" s="9" t="s">
        <v>27</v>
      </c>
      <c r="C321" s="9" t="s">
        <v>32</v>
      </c>
      <c r="D321" s="22">
        <v>45889</v>
      </c>
      <c r="E321" s="9">
        <v>2</v>
      </c>
      <c r="F321" s="10" t="s">
        <v>57</v>
      </c>
      <c r="G321" s="10" t="s">
        <v>85</v>
      </c>
      <c r="H321" s="9">
        <v>89</v>
      </c>
      <c r="I321" s="9" t="s">
        <v>309</v>
      </c>
      <c r="J321" s="38">
        <f t="shared" si="47"/>
        <v>89</v>
      </c>
      <c r="K321" s="38">
        <f t="shared" si="48"/>
        <v>19.756666666666668</v>
      </c>
      <c r="L321" s="38">
        <f t="shared" si="49"/>
        <v>69.243333333333339</v>
      </c>
      <c r="M321" s="38">
        <v>83.1</v>
      </c>
      <c r="N321" s="38">
        <f t="shared" si="51"/>
        <v>19.756666666666668</v>
      </c>
      <c r="O321" s="38">
        <f t="shared" si="52"/>
        <v>63.343333333333327</v>
      </c>
      <c r="P321" s="38"/>
      <c r="Q321" s="38"/>
      <c r="R321" s="38">
        <f t="shared" si="50"/>
        <v>9.3143187917697414</v>
      </c>
      <c r="S321" s="9"/>
    </row>
    <row r="322" spans="1:19" x14ac:dyDescent="0.25">
      <c r="A322" s="5" t="s">
        <v>303</v>
      </c>
      <c r="B322" s="9" t="s">
        <v>27</v>
      </c>
      <c r="C322" s="9" t="s">
        <v>33</v>
      </c>
      <c r="D322" s="22">
        <v>45889</v>
      </c>
      <c r="E322" s="9">
        <v>1</v>
      </c>
      <c r="F322" s="10" t="s">
        <v>58</v>
      </c>
      <c r="G322" s="10" t="s">
        <v>74</v>
      </c>
      <c r="H322" s="9">
        <v>52</v>
      </c>
      <c r="I322" s="9" t="s">
        <v>234</v>
      </c>
      <c r="J322" s="38">
        <f t="shared" si="47"/>
        <v>52</v>
      </c>
      <c r="K322" s="38">
        <f t="shared" si="48"/>
        <v>19.756666666666668</v>
      </c>
      <c r="L322" s="38">
        <f t="shared" si="49"/>
        <v>32.243333333333332</v>
      </c>
      <c r="M322" s="38">
        <v>49.14</v>
      </c>
      <c r="N322" s="38">
        <f t="shared" si="51"/>
        <v>19.756666666666668</v>
      </c>
      <c r="O322" s="38">
        <f t="shared" si="52"/>
        <v>29.383333333333333</v>
      </c>
      <c r="P322" s="38"/>
      <c r="Q322" s="38"/>
      <c r="R322" s="38">
        <f t="shared" si="50"/>
        <v>9.7334089619965951</v>
      </c>
      <c r="S322" s="9"/>
    </row>
    <row r="323" spans="1:19" x14ac:dyDescent="0.25">
      <c r="A323" s="5" t="s">
        <v>303</v>
      </c>
      <c r="B323" s="9" t="s">
        <v>27</v>
      </c>
      <c r="C323" s="9" t="s">
        <v>34</v>
      </c>
      <c r="D323" s="22">
        <v>45889</v>
      </c>
      <c r="E323" s="9">
        <v>1</v>
      </c>
      <c r="F323" s="10" t="s">
        <v>59</v>
      </c>
      <c r="G323" s="10" t="s">
        <v>85</v>
      </c>
      <c r="H323" s="9">
        <v>48</v>
      </c>
      <c r="I323" s="9" t="s">
        <v>310</v>
      </c>
      <c r="J323" s="38">
        <f t="shared" si="47"/>
        <v>48</v>
      </c>
      <c r="K323" s="38">
        <f t="shared" si="48"/>
        <v>19.756666666666668</v>
      </c>
      <c r="L323" s="38">
        <f t="shared" si="49"/>
        <v>28.243333333333332</v>
      </c>
      <c r="M323" s="38">
        <v>46.38</v>
      </c>
      <c r="N323" s="38">
        <f t="shared" si="51"/>
        <v>19.756666666666668</v>
      </c>
      <c r="O323" s="38">
        <f t="shared" si="52"/>
        <v>26.623333333333335</v>
      </c>
      <c r="P323" s="38"/>
      <c r="Q323" s="38"/>
      <c r="R323" s="38">
        <f t="shared" si="50"/>
        <v>6.0848879429072138</v>
      </c>
      <c r="S323" s="9"/>
    </row>
    <row r="324" spans="1:19" ht="30" x14ac:dyDescent="0.25">
      <c r="A324" s="5" t="s">
        <v>303</v>
      </c>
      <c r="B324" s="9" t="s">
        <v>27</v>
      </c>
      <c r="C324" s="9" t="s">
        <v>35</v>
      </c>
      <c r="D324" s="22">
        <v>45889</v>
      </c>
      <c r="E324" s="9">
        <v>1</v>
      </c>
      <c r="F324" s="10" t="s">
        <v>60</v>
      </c>
      <c r="G324" s="10" t="s">
        <v>74</v>
      </c>
      <c r="H324" s="9">
        <v>46</v>
      </c>
      <c r="I324" s="9" t="s">
        <v>311</v>
      </c>
      <c r="J324" s="38">
        <f t="shared" si="47"/>
        <v>46</v>
      </c>
      <c r="K324" s="38">
        <f t="shared" si="48"/>
        <v>19.756666666666668</v>
      </c>
      <c r="L324" s="38">
        <f t="shared" si="49"/>
        <v>26.243333333333332</v>
      </c>
      <c r="M324" s="38">
        <v>44.16</v>
      </c>
      <c r="N324" s="38">
        <f t="shared" si="51"/>
        <v>19.756666666666668</v>
      </c>
      <c r="O324" s="38">
        <f t="shared" si="52"/>
        <v>24.403333333333329</v>
      </c>
      <c r="P324" s="38"/>
      <c r="Q324" s="38"/>
      <c r="R324" s="38">
        <f t="shared" si="50"/>
        <v>7.5399535582570838</v>
      </c>
      <c r="S324" s="9"/>
    </row>
    <row r="325" spans="1:19" ht="30" x14ac:dyDescent="0.25">
      <c r="A325" s="5" t="s">
        <v>303</v>
      </c>
      <c r="B325" s="9" t="s">
        <v>27</v>
      </c>
      <c r="C325" s="9" t="s">
        <v>36</v>
      </c>
      <c r="D325" s="22">
        <v>45889</v>
      </c>
      <c r="E325" s="9">
        <v>1</v>
      </c>
      <c r="F325" s="10" t="s">
        <v>61</v>
      </c>
      <c r="G325" s="10" t="s">
        <v>74</v>
      </c>
      <c r="H325" s="9">
        <v>44</v>
      </c>
      <c r="I325" s="9" t="s">
        <v>311</v>
      </c>
      <c r="J325" s="38">
        <f t="shared" si="47"/>
        <v>44</v>
      </c>
      <c r="K325" s="38">
        <f t="shared" si="48"/>
        <v>19.756666666666668</v>
      </c>
      <c r="L325" s="38">
        <f t="shared" si="49"/>
        <v>24.243333333333332</v>
      </c>
      <c r="M325" s="38">
        <v>43.2</v>
      </c>
      <c r="N325" s="38">
        <f t="shared" si="51"/>
        <v>19.756666666666668</v>
      </c>
      <c r="O325" s="38">
        <f t="shared" si="52"/>
        <v>23.443333333333335</v>
      </c>
      <c r="P325" s="38"/>
      <c r="Q325" s="38"/>
      <c r="R325" s="38">
        <f t="shared" si="50"/>
        <v>3.412484003981219</v>
      </c>
      <c r="S325" s="12"/>
    </row>
    <row r="326" spans="1:19" x14ac:dyDescent="0.25">
      <c r="A326" s="5" t="s">
        <v>303</v>
      </c>
      <c r="B326" s="9" t="s">
        <v>27</v>
      </c>
      <c r="C326" s="9" t="s">
        <v>37</v>
      </c>
      <c r="D326" s="22">
        <v>45889</v>
      </c>
      <c r="E326" s="9">
        <v>1</v>
      </c>
      <c r="F326" s="10" t="s">
        <v>62</v>
      </c>
      <c r="G326" s="10" t="s">
        <v>85</v>
      </c>
      <c r="H326" s="9">
        <v>45</v>
      </c>
      <c r="I326" s="9" t="s">
        <v>312</v>
      </c>
      <c r="J326" s="38">
        <f t="shared" si="47"/>
        <v>45</v>
      </c>
      <c r="K326" s="38">
        <f t="shared" si="48"/>
        <v>19.756666666666668</v>
      </c>
      <c r="L326" s="38">
        <f t="shared" si="49"/>
        <v>25.243333333333332</v>
      </c>
      <c r="M326" s="38">
        <v>43.52</v>
      </c>
      <c r="N326" s="38">
        <f t="shared" si="51"/>
        <v>19.756666666666668</v>
      </c>
      <c r="O326" s="38">
        <f t="shared" si="52"/>
        <v>23.763333333333335</v>
      </c>
      <c r="P326" s="38"/>
      <c r="Q326" s="38"/>
      <c r="R326" s="38">
        <f t="shared" si="50"/>
        <v>6.2280824800112082</v>
      </c>
      <c r="S326" s="9"/>
    </row>
    <row r="327" spans="1:19" ht="30" x14ac:dyDescent="0.25">
      <c r="A327" s="5" t="s">
        <v>303</v>
      </c>
      <c r="B327" s="9" t="s">
        <v>27</v>
      </c>
      <c r="C327" s="9" t="s">
        <v>38</v>
      </c>
      <c r="D327" s="22">
        <v>45889</v>
      </c>
      <c r="E327" s="9">
        <v>1</v>
      </c>
      <c r="F327" s="10" t="s">
        <v>63</v>
      </c>
      <c r="G327" s="10" t="s">
        <v>74</v>
      </c>
      <c r="H327" s="9">
        <v>33</v>
      </c>
      <c r="I327" s="9" t="s">
        <v>313</v>
      </c>
      <c r="J327" s="38">
        <f t="shared" si="47"/>
        <v>33</v>
      </c>
      <c r="K327" s="38">
        <f t="shared" si="48"/>
        <v>19.756666666666668</v>
      </c>
      <c r="L327" s="38">
        <f t="shared" si="49"/>
        <v>13.243333333333332</v>
      </c>
      <c r="M327" s="38">
        <v>31.83</v>
      </c>
      <c r="N327" s="38">
        <f t="shared" si="51"/>
        <v>19.756666666666668</v>
      </c>
      <c r="O327" s="38">
        <f t="shared" si="52"/>
        <v>12.073333333333331</v>
      </c>
      <c r="P327" s="38"/>
      <c r="Q327" s="38"/>
      <c r="R327" s="38">
        <f t="shared" si="50"/>
        <v>9.6907785753727378</v>
      </c>
      <c r="S327" s="9"/>
    </row>
    <row r="328" spans="1:19" x14ac:dyDescent="0.25">
      <c r="A328" s="5" t="s">
        <v>303</v>
      </c>
      <c r="B328" s="9" t="s">
        <v>27</v>
      </c>
      <c r="C328" s="9" t="s">
        <v>39</v>
      </c>
      <c r="D328" s="22">
        <v>45889</v>
      </c>
      <c r="E328" s="9">
        <v>1</v>
      </c>
      <c r="F328" s="10" t="s">
        <v>64</v>
      </c>
      <c r="G328" s="10" t="s">
        <v>85</v>
      </c>
      <c r="H328" s="9">
        <v>37</v>
      </c>
      <c r="I328" s="9" t="s">
        <v>314</v>
      </c>
      <c r="J328" s="38">
        <f t="shared" si="47"/>
        <v>37</v>
      </c>
      <c r="K328" s="38">
        <f t="shared" si="48"/>
        <v>19.756666666666668</v>
      </c>
      <c r="L328" s="38">
        <f t="shared" si="49"/>
        <v>17.243333333333332</v>
      </c>
      <c r="M328" s="38">
        <v>36.14</v>
      </c>
      <c r="N328" s="38">
        <f t="shared" si="51"/>
        <v>19.756666666666668</v>
      </c>
      <c r="O328" s="38">
        <f t="shared" si="52"/>
        <v>16.383333333333333</v>
      </c>
      <c r="P328" s="38"/>
      <c r="Q328" s="38"/>
      <c r="R328" s="38">
        <f t="shared" si="50"/>
        <v>5.249237029501522</v>
      </c>
      <c r="S328" s="9"/>
    </row>
    <row r="329" spans="1:19" x14ac:dyDescent="0.25">
      <c r="A329" s="5" t="s">
        <v>303</v>
      </c>
      <c r="B329" s="9" t="s">
        <v>27</v>
      </c>
      <c r="C329" s="9" t="s">
        <v>40</v>
      </c>
      <c r="D329" s="22">
        <v>45889</v>
      </c>
      <c r="E329" s="9">
        <v>1</v>
      </c>
      <c r="F329" s="10" t="s">
        <v>65</v>
      </c>
      <c r="G329" s="10" t="s">
        <v>74</v>
      </c>
      <c r="H329" s="9">
        <v>41</v>
      </c>
      <c r="I329" s="9" t="s">
        <v>315</v>
      </c>
      <c r="J329" s="38">
        <f t="shared" si="47"/>
        <v>41</v>
      </c>
      <c r="K329" s="38">
        <f t="shared" si="48"/>
        <v>19.756666666666668</v>
      </c>
      <c r="L329" s="38">
        <f t="shared" si="49"/>
        <v>21.243333333333332</v>
      </c>
      <c r="M329" s="38">
        <v>39.44</v>
      </c>
      <c r="N329" s="38">
        <f t="shared" si="51"/>
        <v>19.756666666666668</v>
      </c>
      <c r="O329" s="38">
        <f t="shared" si="52"/>
        <v>19.68333333333333</v>
      </c>
      <c r="P329" s="38"/>
      <c r="Q329" s="38"/>
      <c r="R329" s="38">
        <f t="shared" si="50"/>
        <v>7.9254868755292254</v>
      </c>
      <c r="S329" s="9"/>
    </row>
    <row r="330" spans="1:19" ht="30" x14ac:dyDescent="0.25">
      <c r="A330" s="5" t="s">
        <v>303</v>
      </c>
      <c r="B330" s="9" t="s">
        <v>27</v>
      </c>
      <c r="C330" s="9" t="s">
        <v>41</v>
      </c>
      <c r="D330" s="22">
        <v>45889</v>
      </c>
      <c r="E330" s="9">
        <v>1</v>
      </c>
      <c r="F330" s="10" t="s">
        <v>66</v>
      </c>
      <c r="G330" s="10" t="s">
        <v>74</v>
      </c>
      <c r="H330" s="9">
        <v>40</v>
      </c>
      <c r="I330" s="9" t="s">
        <v>316</v>
      </c>
      <c r="J330" s="38">
        <f t="shared" si="47"/>
        <v>40</v>
      </c>
      <c r="K330" s="38">
        <f t="shared" si="48"/>
        <v>19.756666666666668</v>
      </c>
      <c r="L330" s="38">
        <f t="shared" si="49"/>
        <v>20.243333333333332</v>
      </c>
      <c r="M330" s="38">
        <v>38.549999999999997</v>
      </c>
      <c r="N330" s="38">
        <f t="shared" si="51"/>
        <v>19.756666666666668</v>
      </c>
      <c r="O330" s="38">
        <f t="shared" si="52"/>
        <v>18.793333333333329</v>
      </c>
      <c r="P330" s="38"/>
      <c r="Q330" s="38"/>
      <c r="R330" s="38">
        <f t="shared" si="50"/>
        <v>7.7155019510464866</v>
      </c>
      <c r="S330" s="12"/>
    </row>
    <row r="331" spans="1:19" x14ac:dyDescent="0.25">
      <c r="A331" s="5" t="s">
        <v>303</v>
      </c>
      <c r="B331" s="9" t="s">
        <v>27</v>
      </c>
      <c r="C331" s="9" t="s">
        <v>42</v>
      </c>
      <c r="D331" s="22">
        <v>45889</v>
      </c>
      <c r="E331" s="9">
        <v>1</v>
      </c>
      <c r="F331" s="10" t="s">
        <v>67</v>
      </c>
      <c r="G331" s="10" t="s">
        <v>74</v>
      </c>
      <c r="H331" s="9">
        <v>50</v>
      </c>
      <c r="I331" s="9" t="s">
        <v>317</v>
      </c>
      <c r="J331" s="38">
        <f t="shared" si="47"/>
        <v>50</v>
      </c>
      <c r="K331" s="38">
        <f t="shared" si="48"/>
        <v>19.756666666666668</v>
      </c>
      <c r="L331" s="38">
        <f t="shared" si="49"/>
        <v>30.243333333333332</v>
      </c>
      <c r="M331" s="38">
        <v>48.23</v>
      </c>
      <c r="N331" s="38">
        <f t="shared" si="51"/>
        <v>19.756666666666668</v>
      </c>
      <c r="O331" s="38">
        <f t="shared" si="52"/>
        <v>28.473333333333329</v>
      </c>
      <c r="P331" s="38"/>
      <c r="Q331" s="38"/>
      <c r="R331" s="38">
        <f t="shared" si="50"/>
        <v>6.2163427768672559</v>
      </c>
      <c r="S331" s="9"/>
    </row>
    <row r="332" spans="1:19" x14ac:dyDescent="0.25">
      <c r="A332" s="33" t="s">
        <v>303</v>
      </c>
      <c r="B332" s="21" t="s">
        <v>27</v>
      </c>
      <c r="C332" s="21" t="s">
        <v>43</v>
      </c>
      <c r="D332" s="42">
        <v>45889</v>
      </c>
      <c r="E332" s="21">
        <v>6</v>
      </c>
      <c r="F332" s="21" t="s">
        <v>68</v>
      </c>
      <c r="G332" s="34" t="s">
        <v>74</v>
      </c>
      <c r="H332" s="21">
        <v>174</v>
      </c>
      <c r="I332" s="21" t="s">
        <v>318</v>
      </c>
      <c r="J332" s="43">
        <f t="shared" si="47"/>
        <v>174</v>
      </c>
      <c r="K332" s="43">
        <f t="shared" si="48"/>
        <v>19.756666666666668</v>
      </c>
      <c r="L332" s="43">
        <f t="shared" si="49"/>
        <v>154.24333333333334</v>
      </c>
      <c r="M332" s="43">
        <v>167.15</v>
      </c>
      <c r="N332" s="43">
        <f t="shared" si="51"/>
        <v>19.756666666666668</v>
      </c>
      <c r="O332" s="43">
        <f t="shared" si="52"/>
        <v>147.39333333333335</v>
      </c>
      <c r="P332" s="43">
        <v>4.25</v>
      </c>
      <c r="Q332" s="43"/>
      <c r="R332" s="43">
        <f t="shared" si="50"/>
        <v>4.6474286489664802</v>
      </c>
      <c r="S332" s="21"/>
    </row>
    <row r="333" spans="1:19" s="49" customFormat="1" ht="15.75" thickBot="1" x14ac:dyDescent="0.3">
      <c r="A333" s="44" t="s">
        <v>25</v>
      </c>
      <c r="B333" s="45" t="s">
        <v>31</v>
      </c>
      <c r="C333" s="45" t="s">
        <v>392</v>
      </c>
      <c r="D333" s="46">
        <v>45888</v>
      </c>
      <c r="E333" s="45">
        <v>2</v>
      </c>
      <c r="F333" s="47" t="s">
        <v>48</v>
      </c>
      <c r="G333" s="45" t="s">
        <v>116</v>
      </c>
      <c r="H333" s="45">
        <v>110</v>
      </c>
      <c r="I333" s="45" t="s">
        <v>282</v>
      </c>
      <c r="J333" s="48">
        <f t="shared" ref="J333:J364" si="53">H333</f>
        <v>110</v>
      </c>
      <c r="K333" s="48">
        <f t="shared" ref="K333:K364" si="54">AVERAGE(19.9,19.77,19.6)</f>
        <v>19.756666666666668</v>
      </c>
      <c r="L333" s="48">
        <f t="shared" ref="L333:L364" si="55">J333-K333</f>
        <v>90.243333333333339</v>
      </c>
      <c r="M333" s="48">
        <v>93.46</v>
      </c>
      <c r="N333" s="48">
        <f t="shared" si="51"/>
        <v>19.756666666666668</v>
      </c>
      <c r="O333" s="48">
        <f t="shared" si="52"/>
        <v>73.703333333333319</v>
      </c>
      <c r="P333" s="48"/>
      <c r="Q333" s="48"/>
      <c r="R333" s="48">
        <f t="shared" ref="R333:R364" si="56">((L333-O333)/O333)*100</f>
        <v>22.441318800597021</v>
      </c>
      <c r="S333" s="45"/>
    </row>
    <row r="334" spans="1:19" ht="15.75" thickTop="1" x14ac:dyDescent="0.25">
      <c r="A334" s="20" t="s">
        <v>25</v>
      </c>
      <c r="B334" s="12" t="s">
        <v>31</v>
      </c>
      <c r="C334" s="12" t="s">
        <v>393</v>
      </c>
      <c r="D334" s="24">
        <v>45888</v>
      </c>
      <c r="E334" s="12">
        <v>2</v>
      </c>
      <c r="F334" s="13" t="s">
        <v>49</v>
      </c>
      <c r="G334" s="12" t="s">
        <v>116</v>
      </c>
      <c r="H334" s="12">
        <v>146</v>
      </c>
      <c r="I334" s="12" t="s">
        <v>283</v>
      </c>
      <c r="J334" s="40">
        <f t="shared" si="53"/>
        <v>146</v>
      </c>
      <c r="K334" s="40">
        <f t="shared" si="54"/>
        <v>19.756666666666668</v>
      </c>
      <c r="L334" s="40">
        <f t="shared" si="55"/>
        <v>126.24333333333334</v>
      </c>
      <c r="M334" s="40">
        <v>120.25</v>
      </c>
      <c r="N334" s="40">
        <f t="shared" si="51"/>
        <v>19.756666666666668</v>
      </c>
      <c r="O334" s="40">
        <f t="shared" si="52"/>
        <v>100.49333333333334</v>
      </c>
      <c r="P334" s="40"/>
      <c r="Q334" s="40"/>
      <c r="R334" s="40">
        <f t="shared" si="56"/>
        <v>25.623590287912961</v>
      </c>
      <c r="S334" s="12"/>
    </row>
    <row r="335" spans="1:19" x14ac:dyDescent="0.25">
      <c r="A335" s="5" t="s">
        <v>25</v>
      </c>
      <c r="B335" s="9" t="s">
        <v>31</v>
      </c>
      <c r="C335" s="9" t="s">
        <v>394</v>
      </c>
      <c r="D335" s="22">
        <v>45888</v>
      </c>
      <c r="E335" s="9">
        <v>2</v>
      </c>
      <c r="F335" s="10" t="s">
        <v>50</v>
      </c>
      <c r="G335" s="9" t="s">
        <v>116</v>
      </c>
      <c r="H335" s="9">
        <v>116</v>
      </c>
      <c r="I335" s="9" t="s">
        <v>284</v>
      </c>
      <c r="J335" s="38">
        <f t="shared" si="53"/>
        <v>116</v>
      </c>
      <c r="K335" s="38">
        <f t="shared" si="54"/>
        <v>19.756666666666668</v>
      </c>
      <c r="L335" s="38">
        <f t="shared" si="55"/>
        <v>96.243333333333339</v>
      </c>
      <c r="M335" s="38">
        <v>100.59</v>
      </c>
      <c r="N335" s="38">
        <f t="shared" si="51"/>
        <v>19.756666666666668</v>
      </c>
      <c r="O335" s="38">
        <f t="shared" si="52"/>
        <v>80.833333333333343</v>
      </c>
      <c r="P335" s="38"/>
      <c r="Q335" s="38"/>
      <c r="R335" s="38">
        <f t="shared" si="56"/>
        <v>19.063917525773189</v>
      </c>
      <c r="S335" s="9"/>
    </row>
    <row r="336" spans="1:19" x14ac:dyDescent="0.25">
      <c r="A336" s="5" t="s">
        <v>25</v>
      </c>
      <c r="B336" s="9" t="s">
        <v>31</v>
      </c>
      <c r="C336" s="9" t="s">
        <v>395</v>
      </c>
      <c r="D336" s="22">
        <v>45888</v>
      </c>
      <c r="E336" s="9">
        <v>2</v>
      </c>
      <c r="F336" s="10" t="s">
        <v>51</v>
      </c>
      <c r="G336" s="9" t="s">
        <v>116</v>
      </c>
      <c r="H336" s="9">
        <v>128</v>
      </c>
      <c r="I336" s="9" t="s">
        <v>285</v>
      </c>
      <c r="J336" s="38">
        <f t="shared" si="53"/>
        <v>128</v>
      </c>
      <c r="K336" s="38">
        <f t="shared" si="54"/>
        <v>19.756666666666668</v>
      </c>
      <c r="L336" s="38">
        <f t="shared" si="55"/>
        <v>108.24333333333334</v>
      </c>
      <c r="M336" s="38">
        <v>113.01</v>
      </c>
      <c r="N336" s="38">
        <f t="shared" si="51"/>
        <v>19.756666666666668</v>
      </c>
      <c r="O336" s="38">
        <f t="shared" si="52"/>
        <v>93.25333333333333</v>
      </c>
      <c r="P336" s="38"/>
      <c r="Q336" s="38"/>
      <c r="R336" s="38">
        <f t="shared" si="56"/>
        <v>16.074492422076077</v>
      </c>
      <c r="S336" s="9"/>
    </row>
    <row r="337" spans="1:19" x14ac:dyDescent="0.25">
      <c r="A337" s="5" t="s">
        <v>25</v>
      </c>
      <c r="B337" s="9" t="s">
        <v>31</v>
      </c>
      <c r="C337" s="9" t="s">
        <v>396</v>
      </c>
      <c r="D337" s="22">
        <v>45888</v>
      </c>
      <c r="E337" s="9">
        <v>2</v>
      </c>
      <c r="F337" s="10" t="s">
        <v>52</v>
      </c>
      <c r="G337" s="9" t="s">
        <v>116</v>
      </c>
      <c r="H337" s="9">
        <v>120</v>
      </c>
      <c r="I337" s="9" t="s">
        <v>286</v>
      </c>
      <c r="J337" s="38">
        <f t="shared" si="53"/>
        <v>120</v>
      </c>
      <c r="K337" s="38">
        <f t="shared" si="54"/>
        <v>19.756666666666668</v>
      </c>
      <c r="L337" s="38">
        <f t="shared" si="55"/>
        <v>100.24333333333334</v>
      </c>
      <c r="M337" s="38">
        <v>104.45</v>
      </c>
      <c r="N337" s="38">
        <f t="shared" si="51"/>
        <v>19.756666666666668</v>
      </c>
      <c r="O337" s="38">
        <f t="shared" si="52"/>
        <v>84.693333333333328</v>
      </c>
      <c r="P337" s="38"/>
      <c r="Q337" s="38"/>
      <c r="R337" s="38">
        <f t="shared" si="56"/>
        <v>18.360358942065506</v>
      </c>
      <c r="S337" s="9"/>
    </row>
    <row r="338" spans="1:19" x14ac:dyDescent="0.25">
      <c r="A338" s="5" t="s">
        <v>25</v>
      </c>
      <c r="B338" s="9" t="s">
        <v>31</v>
      </c>
      <c r="C338" s="9" t="s">
        <v>397</v>
      </c>
      <c r="D338" s="22">
        <v>45888</v>
      </c>
      <c r="E338" s="9">
        <v>2</v>
      </c>
      <c r="F338" s="10" t="s">
        <v>53</v>
      </c>
      <c r="G338" s="9" t="s">
        <v>116</v>
      </c>
      <c r="H338" s="9">
        <v>118</v>
      </c>
      <c r="I338" s="9" t="s">
        <v>287</v>
      </c>
      <c r="J338" s="38">
        <f t="shared" si="53"/>
        <v>118</v>
      </c>
      <c r="K338" s="38">
        <f t="shared" si="54"/>
        <v>19.756666666666668</v>
      </c>
      <c r="L338" s="38">
        <f t="shared" si="55"/>
        <v>98.243333333333339</v>
      </c>
      <c r="M338" s="38">
        <v>101.41</v>
      </c>
      <c r="N338" s="38">
        <f t="shared" si="51"/>
        <v>19.756666666666668</v>
      </c>
      <c r="O338" s="38">
        <f t="shared" si="52"/>
        <v>81.653333333333336</v>
      </c>
      <c r="P338" s="38"/>
      <c r="Q338" s="38"/>
      <c r="R338" s="38">
        <f t="shared" si="56"/>
        <v>20.317602873938608</v>
      </c>
      <c r="S338" s="9"/>
    </row>
    <row r="339" spans="1:19" ht="30" x14ac:dyDescent="0.25">
      <c r="A339" s="5" t="s">
        <v>25</v>
      </c>
      <c r="B339" s="9" t="s">
        <v>31</v>
      </c>
      <c r="C339" s="9" t="s">
        <v>398</v>
      </c>
      <c r="D339" s="22">
        <v>45888</v>
      </c>
      <c r="E339" s="9">
        <v>2</v>
      </c>
      <c r="F339" s="10" t="s">
        <v>54</v>
      </c>
      <c r="G339" s="9" t="s">
        <v>116</v>
      </c>
      <c r="H339" s="9">
        <v>144</v>
      </c>
      <c r="I339" s="9" t="s">
        <v>288</v>
      </c>
      <c r="J339" s="38">
        <f t="shared" si="53"/>
        <v>144</v>
      </c>
      <c r="K339" s="38">
        <f t="shared" si="54"/>
        <v>19.756666666666668</v>
      </c>
      <c r="L339" s="38">
        <f t="shared" si="55"/>
        <v>124.24333333333334</v>
      </c>
      <c r="M339" s="38">
        <v>131.29</v>
      </c>
      <c r="N339" s="38">
        <f t="shared" si="51"/>
        <v>19.756666666666668</v>
      </c>
      <c r="O339" s="38">
        <f t="shared" si="52"/>
        <v>111.53333333333333</v>
      </c>
      <c r="P339" s="38"/>
      <c r="Q339" s="38"/>
      <c r="R339" s="38">
        <f t="shared" si="56"/>
        <v>11.395696353855357</v>
      </c>
      <c r="S339" s="9"/>
    </row>
    <row r="340" spans="1:19" x14ac:dyDescent="0.25">
      <c r="A340" s="5" t="s">
        <v>25</v>
      </c>
      <c r="B340" s="9" t="s">
        <v>31</v>
      </c>
      <c r="C340" s="9" t="s">
        <v>399</v>
      </c>
      <c r="D340" s="22">
        <v>45888</v>
      </c>
      <c r="E340" s="9">
        <v>2</v>
      </c>
      <c r="F340" s="10" t="s">
        <v>55</v>
      </c>
      <c r="G340" s="9" t="s">
        <v>116</v>
      </c>
      <c r="H340" s="9">
        <v>74</v>
      </c>
      <c r="I340" s="9" t="s">
        <v>289</v>
      </c>
      <c r="J340" s="38">
        <f t="shared" si="53"/>
        <v>74</v>
      </c>
      <c r="K340" s="38">
        <f t="shared" si="54"/>
        <v>19.756666666666668</v>
      </c>
      <c r="L340" s="38">
        <f t="shared" si="55"/>
        <v>54.243333333333332</v>
      </c>
      <c r="M340" s="38">
        <v>64.73</v>
      </c>
      <c r="N340" s="38">
        <f t="shared" si="51"/>
        <v>19.756666666666668</v>
      </c>
      <c r="O340" s="38">
        <f t="shared" si="52"/>
        <v>44.973333333333336</v>
      </c>
      <c r="P340" s="38"/>
      <c r="Q340" s="38"/>
      <c r="R340" s="38">
        <f t="shared" si="56"/>
        <v>20.612214645715969</v>
      </c>
      <c r="S340" s="9"/>
    </row>
    <row r="341" spans="1:19" x14ac:dyDescent="0.25">
      <c r="A341" s="5" t="s">
        <v>25</v>
      </c>
      <c r="B341" s="9" t="s">
        <v>31</v>
      </c>
      <c r="C341" s="9" t="s">
        <v>400</v>
      </c>
      <c r="D341" s="22">
        <v>45888</v>
      </c>
      <c r="E341" s="9">
        <v>2</v>
      </c>
      <c r="F341" s="10" t="s">
        <v>56</v>
      </c>
      <c r="G341" s="9" t="s">
        <v>116</v>
      </c>
      <c r="H341" s="9">
        <v>70</v>
      </c>
      <c r="I341" s="9" t="s">
        <v>290</v>
      </c>
      <c r="J341" s="38">
        <f t="shared" si="53"/>
        <v>70</v>
      </c>
      <c r="K341" s="38">
        <f t="shared" si="54"/>
        <v>19.756666666666668</v>
      </c>
      <c r="L341" s="38">
        <f t="shared" si="55"/>
        <v>50.243333333333332</v>
      </c>
      <c r="M341" s="38">
        <v>61.33</v>
      </c>
      <c r="N341" s="38">
        <f t="shared" si="51"/>
        <v>19.756666666666668</v>
      </c>
      <c r="O341" s="38">
        <f t="shared" si="52"/>
        <v>41.573333333333331</v>
      </c>
      <c r="P341" s="38"/>
      <c r="Q341" s="38"/>
      <c r="R341" s="38">
        <f t="shared" si="56"/>
        <v>20.854714560615783</v>
      </c>
      <c r="S341" s="9"/>
    </row>
    <row r="342" spans="1:19" x14ac:dyDescent="0.25">
      <c r="A342" s="5" t="s">
        <v>25</v>
      </c>
      <c r="B342" s="9" t="s">
        <v>31</v>
      </c>
      <c r="C342" s="9" t="s">
        <v>32</v>
      </c>
      <c r="D342" s="22">
        <v>45888</v>
      </c>
      <c r="E342" s="9">
        <v>2</v>
      </c>
      <c r="F342" s="10" t="s">
        <v>57</v>
      </c>
      <c r="G342" s="9" t="s">
        <v>116</v>
      </c>
      <c r="H342" s="9">
        <v>37</v>
      </c>
      <c r="I342" s="9" t="s">
        <v>282</v>
      </c>
      <c r="J342" s="38">
        <f t="shared" si="53"/>
        <v>37</v>
      </c>
      <c r="K342" s="38">
        <f t="shared" si="54"/>
        <v>19.756666666666668</v>
      </c>
      <c r="L342" s="38">
        <f t="shared" si="55"/>
        <v>17.243333333333332</v>
      </c>
      <c r="M342" s="38">
        <v>35.26</v>
      </c>
      <c r="N342" s="38">
        <f t="shared" si="51"/>
        <v>19.756666666666668</v>
      </c>
      <c r="O342" s="38">
        <f t="shared" si="52"/>
        <v>15.50333333333333</v>
      </c>
      <c r="P342" s="38"/>
      <c r="Q342" s="38"/>
      <c r="R342" s="38">
        <f t="shared" si="56"/>
        <v>11.223392818748671</v>
      </c>
      <c r="S342" s="9"/>
    </row>
    <row r="343" spans="1:19" x14ac:dyDescent="0.25">
      <c r="A343" s="5" t="s">
        <v>25</v>
      </c>
      <c r="B343" s="9" t="s">
        <v>31</v>
      </c>
      <c r="C343" s="9" t="s">
        <v>33</v>
      </c>
      <c r="D343" s="22">
        <v>45888</v>
      </c>
      <c r="E343" s="9">
        <v>1</v>
      </c>
      <c r="F343" s="10" t="s">
        <v>58</v>
      </c>
      <c r="G343" s="9" t="s">
        <v>85</v>
      </c>
      <c r="H343" s="9">
        <v>28</v>
      </c>
      <c r="I343" s="9" t="s">
        <v>291</v>
      </c>
      <c r="J343" s="38">
        <f t="shared" si="53"/>
        <v>28</v>
      </c>
      <c r="K343" s="38">
        <f t="shared" si="54"/>
        <v>19.756666666666668</v>
      </c>
      <c r="L343" s="38">
        <f t="shared" si="55"/>
        <v>8.2433333333333323</v>
      </c>
      <c r="M343" s="38">
        <v>25.96</v>
      </c>
      <c r="N343" s="38">
        <f t="shared" si="51"/>
        <v>19.756666666666668</v>
      </c>
      <c r="O343" s="38">
        <f t="shared" si="52"/>
        <v>6.2033333333333331</v>
      </c>
      <c r="P343" s="38"/>
      <c r="Q343" s="38"/>
      <c r="R343" s="38">
        <f t="shared" si="56"/>
        <v>32.885545405695851</v>
      </c>
      <c r="S343" s="9"/>
    </row>
    <row r="344" spans="1:19" x14ac:dyDescent="0.25">
      <c r="A344" s="5" t="s">
        <v>25</v>
      </c>
      <c r="B344" s="9" t="s">
        <v>31</v>
      </c>
      <c r="C344" s="9" t="s">
        <v>34</v>
      </c>
      <c r="D344" s="22">
        <v>45888</v>
      </c>
      <c r="E344" s="9">
        <v>1</v>
      </c>
      <c r="F344" s="10" t="s">
        <v>59</v>
      </c>
      <c r="G344" s="9" t="s">
        <v>85</v>
      </c>
      <c r="H344" s="9">
        <v>55</v>
      </c>
      <c r="I344" s="9" t="s">
        <v>292</v>
      </c>
      <c r="J344" s="38">
        <f t="shared" si="53"/>
        <v>55</v>
      </c>
      <c r="K344" s="38">
        <f t="shared" si="54"/>
        <v>19.756666666666668</v>
      </c>
      <c r="L344" s="38">
        <f t="shared" si="55"/>
        <v>35.243333333333332</v>
      </c>
      <c r="M344" s="38">
        <v>48.29</v>
      </c>
      <c r="N344" s="38">
        <f t="shared" si="51"/>
        <v>19.756666666666668</v>
      </c>
      <c r="O344" s="38">
        <f t="shared" si="52"/>
        <v>28.533333333333331</v>
      </c>
      <c r="P344" s="38"/>
      <c r="Q344" s="38"/>
      <c r="R344" s="38">
        <f t="shared" si="56"/>
        <v>23.516355140186921</v>
      </c>
      <c r="S344" s="9"/>
    </row>
    <row r="345" spans="1:19" x14ac:dyDescent="0.25">
      <c r="A345" s="5" t="s">
        <v>25</v>
      </c>
      <c r="B345" s="9" t="s">
        <v>31</v>
      </c>
      <c r="C345" s="9" t="s">
        <v>35</v>
      </c>
      <c r="D345" s="22">
        <v>45888</v>
      </c>
      <c r="E345" s="9">
        <v>1</v>
      </c>
      <c r="F345" s="10" t="s">
        <v>60</v>
      </c>
      <c r="G345" s="9" t="s">
        <v>116</v>
      </c>
      <c r="H345" s="9">
        <v>65</v>
      </c>
      <c r="I345" s="9" t="s">
        <v>300</v>
      </c>
      <c r="J345" s="38">
        <f t="shared" si="53"/>
        <v>65</v>
      </c>
      <c r="K345" s="38">
        <f t="shared" si="54"/>
        <v>19.756666666666668</v>
      </c>
      <c r="L345" s="38">
        <f t="shared" si="55"/>
        <v>45.243333333333332</v>
      </c>
      <c r="M345" s="38">
        <v>57.91</v>
      </c>
      <c r="N345" s="38">
        <f t="shared" si="51"/>
        <v>19.756666666666668</v>
      </c>
      <c r="O345" s="38">
        <f t="shared" si="52"/>
        <v>38.153333333333329</v>
      </c>
      <c r="P345" s="38"/>
      <c r="Q345" s="38"/>
      <c r="R345" s="38">
        <f t="shared" si="56"/>
        <v>18.582911060632547</v>
      </c>
      <c r="S345" s="9"/>
    </row>
    <row r="346" spans="1:19" ht="30" x14ac:dyDescent="0.25">
      <c r="A346" s="5" t="s">
        <v>25</v>
      </c>
      <c r="B346" s="9" t="s">
        <v>31</v>
      </c>
      <c r="C346" s="9" t="s">
        <v>36</v>
      </c>
      <c r="D346" s="22">
        <v>45888</v>
      </c>
      <c r="E346" s="9">
        <v>1</v>
      </c>
      <c r="F346" s="10" t="s">
        <v>61</v>
      </c>
      <c r="G346" s="9" t="s">
        <v>116</v>
      </c>
      <c r="H346" s="9">
        <v>50</v>
      </c>
      <c r="I346" s="9" t="s">
        <v>299</v>
      </c>
      <c r="J346" s="38">
        <f t="shared" si="53"/>
        <v>50</v>
      </c>
      <c r="K346" s="38">
        <f t="shared" si="54"/>
        <v>19.756666666666668</v>
      </c>
      <c r="L346" s="38">
        <f t="shared" si="55"/>
        <v>30.243333333333332</v>
      </c>
      <c r="M346" s="38">
        <v>55.11</v>
      </c>
      <c r="N346" s="38">
        <f t="shared" si="51"/>
        <v>19.756666666666668</v>
      </c>
      <c r="O346" s="38">
        <f t="shared" si="52"/>
        <v>35.353333333333332</v>
      </c>
      <c r="P346" s="38"/>
      <c r="Q346" s="38"/>
      <c r="R346" s="38">
        <f t="shared" si="56"/>
        <v>-14.454082594757683</v>
      </c>
      <c r="S346" s="9" t="s">
        <v>387</v>
      </c>
    </row>
    <row r="347" spans="1:19" x14ac:dyDescent="0.25">
      <c r="A347" s="5" t="s">
        <v>25</v>
      </c>
      <c r="B347" s="9" t="s">
        <v>31</v>
      </c>
      <c r="C347" s="9" t="s">
        <v>37</v>
      </c>
      <c r="D347" s="22">
        <v>45888</v>
      </c>
      <c r="E347" s="9">
        <v>1</v>
      </c>
      <c r="F347" s="10" t="s">
        <v>62</v>
      </c>
      <c r="G347" s="9" t="s">
        <v>116</v>
      </c>
      <c r="H347" s="9">
        <v>68</v>
      </c>
      <c r="I347" s="9" t="s">
        <v>293</v>
      </c>
      <c r="J347" s="38">
        <f t="shared" si="53"/>
        <v>68</v>
      </c>
      <c r="K347" s="38">
        <f t="shared" si="54"/>
        <v>19.756666666666668</v>
      </c>
      <c r="L347" s="38">
        <f t="shared" si="55"/>
        <v>48.243333333333332</v>
      </c>
      <c r="M347" s="38">
        <v>61.55</v>
      </c>
      <c r="N347" s="38">
        <f t="shared" si="51"/>
        <v>19.756666666666668</v>
      </c>
      <c r="O347" s="38">
        <f t="shared" si="52"/>
        <v>41.793333333333329</v>
      </c>
      <c r="P347" s="38"/>
      <c r="Q347" s="38"/>
      <c r="R347" s="38">
        <f t="shared" si="56"/>
        <v>15.433083426383801</v>
      </c>
      <c r="S347" s="9"/>
    </row>
    <row r="348" spans="1:19" x14ac:dyDescent="0.25">
      <c r="A348" s="5" t="s">
        <v>25</v>
      </c>
      <c r="B348" s="9" t="s">
        <v>31</v>
      </c>
      <c r="C348" s="9" t="s">
        <v>38</v>
      </c>
      <c r="D348" s="22">
        <v>45888</v>
      </c>
      <c r="E348" s="9">
        <v>1</v>
      </c>
      <c r="F348" s="10" t="s">
        <v>63</v>
      </c>
      <c r="G348" s="9" t="s">
        <v>116</v>
      </c>
      <c r="H348" s="9">
        <v>62</v>
      </c>
      <c r="I348" s="9" t="s">
        <v>294</v>
      </c>
      <c r="J348" s="38">
        <f t="shared" si="53"/>
        <v>62</v>
      </c>
      <c r="K348" s="38">
        <f t="shared" si="54"/>
        <v>19.756666666666668</v>
      </c>
      <c r="L348" s="38">
        <f t="shared" si="55"/>
        <v>42.243333333333332</v>
      </c>
      <c r="M348" s="38">
        <v>57.78</v>
      </c>
      <c r="N348" s="38">
        <f t="shared" si="51"/>
        <v>19.756666666666668</v>
      </c>
      <c r="O348" s="38">
        <f t="shared" si="52"/>
        <v>38.023333333333333</v>
      </c>
      <c r="P348" s="38"/>
      <c r="Q348" s="38"/>
      <c r="R348" s="38">
        <f t="shared" si="56"/>
        <v>11.098448321206273</v>
      </c>
      <c r="S348" s="9"/>
    </row>
    <row r="349" spans="1:19" x14ac:dyDescent="0.25">
      <c r="A349" s="5" t="s">
        <v>25</v>
      </c>
      <c r="B349" s="9" t="s">
        <v>31</v>
      </c>
      <c r="C349" s="9" t="s">
        <v>39</v>
      </c>
      <c r="D349" s="22">
        <v>45888</v>
      </c>
      <c r="E349" s="9">
        <v>1</v>
      </c>
      <c r="F349" s="10" t="s">
        <v>64</v>
      </c>
      <c r="G349" s="9" t="s">
        <v>116</v>
      </c>
      <c r="H349" s="9">
        <v>67</v>
      </c>
      <c r="I349" s="9" t="s">
        <v>295</v>
      </c>
      <c r="J349" s="38">
        <f t="shared" si="53"/>
        <v>67</v>
      </c>
      <c r="K349" s="38">
        <f t="shared" si="54"/>
        <v>19.756666666666668</v>
      </c>
      <c r="L349" s="38">
        <f t="shared" si="55"/>
        <v>47.243333333333332</v>
      </c>
      <c r="M349" s="38">
        <v>59.33</v>
      </c>
      <c r="N349" s="38">
        <f t="shared" si="51"/>
        <v>19.756666666666668</v>
      </c>
      <c r="O349" s="38">
        <f t="shared" si="52"/>
        <v>39.573333333333331</v>
      </c>
      <c r="P349" s="38"/>
      <c r="Q349" s="38"/>
      <c r="R349" s="38">
        <f t="shared" si="56"/>
        <v>19.381738544474398</v>
      </c>
      <c r="S349" s="9"/>
    </row>
    <row r="350" spans="1:19" ht="30" x14ac:dyDescent="0.25">
      <c r="A350" s="5" t="s">
        <v>25</v>
      </c>
      <c r="B350" s="9" t="s">
        <v>31</v>
      </c>
      <c r="C350" s="9" t="s">
        <v>40</v>
      </c>
      <c r="D350" s="22">
        <v>45888</v>
      </c>
      <c r="E350" s="9">
        <v>1</v>
      </c>
      <c r="F350" s="10" t="s">
        <v>65</v>
      </c>
      <c r="G350" s="9" t="s">
        <v>116</v>
      </c>
      <c r="H350" s="9">
        <v>62</v>
      </c>
      <c r="I350" s="9" t="s">
        <v>296</v>
      </c>
      <c r="J350" s="38">
        <f t="shared" si="53"/>
        <v>62</v>
      </c>
      <c r="K350" s="38">
        <f t="shared" si="54"/>
        <v>19.756666666666668</v>
      </c>
      <c r="L350" s="38">
        <f t="shared" si="55"/>
        <v>42.243333333333332</v>
      </c>
      <c r="M350" s="38">
        <v>56.5</v>
      </c>
      <c r="N350" s="38">
        <f t="shared" si="51"/>
        <v>19.756666666666668</v>
      </c>
      <c r="O350" s="38">
        <f t="shared" si="52"/>
        <v>36.743333333333332</v>
      </c>
      <c r="P350" s="38"/>
      <c r="Q350" s="38"/>
      <c r="R350" s="38">
        <f t="shared" si="56"/>
        <v>14.968701805316156</v>
      </c>
      <c r="S350" s="9"/>
    </row>
    <row r="351" spans="1:19" ht="90" x14ac:dyDescent="0.25">
      <c r="A351" s="5" t="s">
        <v>25</v>
      </c>
      <c r="B351" s="9" t="s">
        <v>31</v>
      </c>
      <c r="C351" s="9" t="s">
        <v>41</v>
      </c>
      <c r="D351" s="22">
        <v>45888</v>
      </c>
      <c r="E351" s="9">
        <v>1</v>
      </c>
      <c r="F351" s="10" t="s">
        <v>66</v>
      </c>
      <c r="G351" s="9" t="s">
        <v>116</v>
      </c>
      <c r="H351" s="9">
        <v>25</v>
      </c>
      <c r="I351" s="9" t="s">
        <v>297</v>
      </c>
      <c r="J351" s="38">
        <f t="shared" si="53"/>
        <v>25</v>
      </c>
      <c r="K351" s="38">
        <f t="shared" si="54"/>
        <v>19.756666666666668</v>
      </c>
      <c r="L351" s="38">
        <f t="shared" si="55"/>
        <v>5.2433333333333323</v>
      </c>
      <c r="M351" s="38">
        <v>55.55</v>
      </c>
      <c r="N351" s="38">
        <f t="shared" si="51"/>
        <v>19.756666666666668</v>
      </c>
      <c r="O351" s="38">
        <f t="shared" si="52"/>
        <v>35.793333333333329</v>
      </c>
      <c r="P351" s="38"/>
      <c r="Q351" s="38"/>
      <c r="R351" s="38">
        <f t="shared" si="56"/>
        <v>-85.351089588377732</v>
      </c>
      <c r="S351" s="9" t="s">
        <v>390</v>
      </c>
    </row>
    <row r="352" spans="1:19" x14ac:dyDescent="0.25">
      <c r="A352" s="5" t="s">
        <v>25</v>
      </c>
      <c r="B352" s="9" t="s">
        <v>31</v>
      </c>
      <c r="C352" s="9" t="s">
        <v>42</v>
      </c>
      <c r="D352" s="22">
        <v>45888</v>
      </c>
      <c r="E352" s="9">
        <v>1</v>
      </c>
      <c r="F352" s="10" t="s">
        <v>67</v>
      </c>
      <c r="G352" s="9" t="s">
        <v>85</v>
      </c>
      <c r="H352" s="9">
        <v>59</v>
      </c>
      <c r="I352" s="9" t="s">
        <v>298</v>
      </c>
      <c r="J352" s="38">
        <f t="shared" si="53"/>
        <v>59</v>
      </c>
      <c r="K352" s="38">
        <f t="shared" si="54"/>
        <v>19.756666666666668</v>
      </c>
      <c r="L352" s="38">
        <f t="shared" si="55"/>
        <v>39.243333333333332</v>
      </c>
      <c r="M352" s="38">
        <v>54.86</v>
      </c>
      <c r="N352" s="38">
        <f t="shared" si="51"/>
        <v>19.756666666666668</v>
      </c>
      <c r="O352" s="38">
        <f t="shared" si="52"/>
        <v>35.103333333333332</v>
      </c>
      <c r="P352" s="38"/>
      <c r="Q352" s="38"/>
      <c r="R352" s="38">
        <f t="shared" si="56"/>
        <v>11.793751780457699</v>
      </c>
      <c r="S352" s="9"/>
    </row>
    <row r="353" spans="1:19" x14ac:dyDescent="0.25">
      <c r="A353" s="5" t="s">
        <v>25</v>
      </c>
      <c r="B353" s="9" t="s">
        <v>31</v>
      </c>
      <c r="C353" s="9" t="s">
        <v>44</v>
      </c>
      <c r="D353" s="22">
        <v>45888</v>
      </c>
      <c r="E353" s="37"/>
      <c r="F353" s="10" t="s">
        <v>68</v>
      </c>
      <c r="G353" s="9" t="s">
        <v>85</v>
      </c>
      <c r="H353" s="9">
        <v>127</v>
      </c>
      <c r="I353" s="9" t="s">
        <v>301</v>
      </c>
      <c r="J353" s="38">
        <f t="shared" si="53"/>
        <v>127</v>
      </c>
      <c r="K353" s="38">
        <f t="shared" si="54"/>
        <v>19.756666666666668</v>
      </c>
      <c r="L353" s="38">
        <f t="shared" si="55"/>
        <v>107.24333333333334</v>
      </c>
      <c r="M353" s="38">
        <v>114.67</v>
      </c>
      <c r="N353" s="38">
        <f t="shared" si="51"/>
        <v>19.756666666666668</v>
      </c>
      <c r="O353" s="38">
        <f t="shared" si="52"/>
        <v>94.913333333333327</v>
      </c>
      <c r="P353" s="38">
        <v>3</v>
      </c>
      <c r="Q353" s="38"/>
      <c r="R353" s="38">
        <f t="shared" si="56"/>
        <v>12.990798623305485</v>
      </c>
      <c r="S353" s="9" t="s">
        <v>382</v>
      </c>
    </row>
    <row r="354" spans="1:19" s="35" customFormat="1" ht="15.75" thickBot="1" x14ac:dyDescent="0.3">
      <c r="A354" s="19" t="s">
        <v>25</v>
      </c>
      <c r="B354" s="11" t="s">
        <v>31</v>
      </c>
      <c r="C354" s="11" t="s">
        <v>45</v>
      </c>
      <c r="D354" s="23">
        <v>45888</v>
      </c>
      <c r="E354" s="36"/>
      <c r="F354" s="14" t="s">
        <v>68</v>
      </c>
      <c r="G354" s="11" t="s">
        <v>85</v>
      </c>
      <c r="H354" s="11">
        <v>98</v>
      </c>
      <c r="I354" s="11" t="s">
        <v>302</v>
      </c>
      <c r="J354" s="41">
        <f t="shared" si="53"/>
        <v>98</v>
      </c>
      <c r="K354" s="41">
        <f t="shared" si="54"/>
        <v>19.756666666666668</v>
      </c>
      <c r="L354" s="41">
        <f t="shared" si="55"/>
        <v>78.243333333333339</v>
      </c>
      <c r="M354" s="41">
        <v>88.45</v>
      </c>
      <c r="N354" s="41">
        <f t="shared" si="51"/>
        <v>19.756666666666668</v>
      </c>
      <c r="O354" s="41">
        <f t="shared" si="52"/>
        <v>68.693333333333328</v>
      </c>
      <c r="P354" s="41">
        <v>2.5</v>
      </c>
      <c r="Q354" s="41"/>
      <c r="R354" s="41">
        <f t="shared" si="56"/>
        <v>13.902368012422379</v>
      </c>
      <c r="S354" s="11" t="s">
        <v>382</v>
      </c>
    </row>
    <row r="355" spans="1:19" x14ac:dyDescent="0.25">
      <c r="A355" s="20" t="s">
        <v>25</v>
      </c>
      <c r="B355" s="12" t="s">
        <v>29</v>
      </c>
      <c r="C355" s="12" t="s">
        <v>392</v>
      </c>
      <c r="D355" s="24">
        <v>45889</v>
      </c>
      <c r="E355" s="12">
        <v>2</v>
      </c>
      <c r="F355" s="13" t="s">
        <v>48</v>
      </c>
      <c r="G355" s="12" t="s">
        <v>74</v>
      </c>
      <c r="H355" s="12">
        <v>211</v>
      </c>
      <c r="I355" s="12" t="s">
        <v>258</v>
      </c>
      <c r="J355" s="40">
        <f t="shared" si="53"/>
        <v>211</v>
      </c>
      <c r="K355" s="40">
        <f t="shared" si="54"/>
        <v>19.756666666666668</v>
      </c>
      <c r="L355" s="40">
        <f t="shared" si="55"/>
        <v>191.24333333333334</v>
      </c>
      <c r="M355" s="40">
        <v>206.03</v>
      </c>
      <c r="N355" s="40">
        <f t="shared" si="51"/>
        <v>19.756666666666668</v>
      </c>
      <c r="O355" s="40">
        <f t="shared" si="52"/>
        <v>186.27333333333334</v>
      </c>
      <c r="P355" s="40"/>
      <c r="Q355" s="40"/>
      <c r="R355" s="40">
        <f t="shared" si="56"/>
        <v>2.6681221144554588</v>
      </c>
      <c r="S355" s="12"/>
    </row>
    <row r="356" spans="1:19" x14ac:dyDescent="0.25">
      <c r="A356" s="5" t="s">
        <v>25</v>
      </c>
      <c r="B356" s="9" t="s">
        <v>29</v>
      </c>
      <c r="C356" s="9" t="s">
        <v>393</v>
      </c>
      <c r="D356" s="22">
        <v>45889</v>
      </c>
      <c r="E356" s="9">
        <v>2</v>
      </c>
      <c r="F356" s="10" t="s">
        <v>49</v>
      </c>
      <c r="G356" s="9" t="s">
        <v>85</v>
      </c>
      <c r="H356" s="9">
        <v>119</v>
      </c>
      <c r="I356" s="9" t="s">
        <v>259</v>
      </c>
      <c r="J356" s="38">
        <f t="shared" si="53"/>
        <v>119</v>
      </c>
      <c r="K356" s="38">
        <f t="shared" si="54"/>
        <v>19.756666666666668</v>
      </c>
      <c r="L356" s="38">
        <f t="shared" si="55"/>
        <v>99.243333333333339</v>
      </c>
      <c r="M356" s="38">
        <v>116.36</v>
      </c>
      <c r="N356" s="38">
        <f t="shared" si="51"/>
        <v>19.756666666666668</v>
      </c>
      <c r="O356" s="38">
        <f t="shared" si="52"/>
        <v>96.603333333333325</v>
      </c>
      <c r="P356" s="38"/>
      <c r="Q356" s="38"/>
      <c r="R356" s="38">
        <f t="shared" si="56"/>
        <v>2.7328249542804062</v>
      </c>
      <c r="S356" s="9"/>
    </row>
    <row r="357" spans="1:19" x14ac:dyDescent="0.25">
      <c r="A357" s="5" t="s">
        <v>25</v>
      </c>
      <c r="B357" s="9" t="s">
        <v>29</v>
      </c>
      <c r="C357" s="9" t="s">
        <v>394</v>
      </c>
      <c r="D357" s="22">
        <v>45889</v>
      </c>
      <c r="E357" s="9">
        <v>2</v>
      </c>
      <c r="F357" s="10" t="s">
        <v>50</v>
      </c>
      <c r="G357" s="9" t="s">
        <v>85</v>
      </c>
      <c r="H357" s="9">
        <v>99</v>
      </c>
      <c r="I357" s="9" t="s">
        <v>259</v>
      </c>
      <c r="J357" s="38">
        <f t="shared" si="53"/>
        <v>99</v>
      </c>
      <c r="K357" s="38">
        <f t="shared" si="54"/>
        <v>19.756666666666668</v>
      </c>
      <c r="L357" s="38">
        <f t="shared" si="55"/>
        <v>79.243333333333339</v>
      </c>
      <c r="M357" s="38">
        <v>96.3</v>
      </c>
      <c r="N357" s="38">
        <f t="shared" si="51"/>
        <v>19.756666666666668</v>
      </c>
      <c r="O357" s="38">
        <f t="shared" si="52"/>
        <v>76.543333333333322</v>
      </c>
      <c r="P357" s="38"/>
      <c r="Q357" s="38"/>
      <c r="R357" s="38">
        <f t="shared" si="56"/>
        <v>3.5274136654618524</v>
      </c>
      <c r="S357" s="9"/>
    </row>
    <row r="358" spans="1:19" x14ac:dyDescent="0.25">
      <c r="A358" s="5" t="s">
        <v>25</v>
      </c>
      <c r="B358" s="9" t="s">
        <v>29</v>
      </c>
      <c r="C358" s="9" t="s">
        <v>395</v>
      </c>
      <c r="D358" s="22">
        <v>45889</v>
      </c>
      <c r="E358" s="9">
        <v>2</v>
      </c>
      <c r="F358" s="10" t="s">
        <v>51</v>
      </c>
      <c r="G358" s="9" t="s">
        <v>85</v>
      </c>
      <c r="H358" s="9">
        <v>99</v>
      </c>
      <c r="I358" s="9" t="s">
        <v>260</v>
      </c>
      <c r="J358" s="38">
        <f t="shared" si="53"/>
        <v>99</v>
      </c>
      <c r="K358" s="38">
        <f t="shared" si="54"/>
        <v>19.756666666666668</v>
      </c>
      <c r="L358" s="38">
        <f t="shared" si="55"/>
        <v>79.243333333333339</v>
      </c>
      <c r="M358" s="38">
        <v>97.43</v>
      </c>
      <c r="N358" s="38">
        <f t="shared" si="51"/>
        <v>19.756666666666668</v>
      </c>
      <c r="O358" s="38">
        <f t="shared" si="52"/>
        <v>77.673333333333346</v>
      </c>
      <c r="P358" s="38"/>
      <c r="Q358" s="38"/>
      <c r="R358" s="38">
        <f t="shared" si="56"/>
        <v>2.0212857265470685</v>
      </c>
      <c r="S358" s="9"/>
    </row>
    <row r="359" spans="1:19" x14ac:dyDescent="0.25">
      <c r="A359" s="5" t="s">
        <v>25</v>
      </c>
      <c r="B359" s="9" t="s">
        <v>29</v>
      </c>
      <c r="C359" s="9" t="s">
        <v>396</v>
      </c>
      <c r="D359" s="22">
        <v>45889</v>
      </c>
      <c r="E359" s="9">
        <v>2</v>
      </c>
      <c r="F359" s="10" t="s">
        <v>52</v>
      </c>
      <c r="G359" s="9" t="s">
        <v>85</v>
      </c>
      <c r="H359" s="9">
        <v>118</v>
      </c>
      <c r="I359" s="9" t="s">
        <v>261</v>
      </c>
      <c r="J359" s="38">
        <f t="shared" si="53"/>
        <v>118</v>
      </c>
      <c r="K359" s="38">
        <f t="shared" si="54"/>
        <v>19.756666666666668</v>
      </c>
      <c r="L359" s="38">
        <f t="shared" si="55"/>
        <v>98.243333333333339</v>
      </c>
      <c r="M359" s="38">
        <v>115.6</v>
      </c>
      <c r="N359" s="38">
        <f t="shared" si="51"/>
        <v>19.756666666666668</v>
      </c>
      <c r="O359" s="38">
        <f t="shared" si="52"/>
        <v>95.843333333333334</v>
      </c>
      <c r="P359" s="38"/>
      <c r="Q359" s="38"/>
      <c r="R359" s="38">
        <f t="shared" si="56"/>
        <v>2.5040865301012127</v>
      </c>
      <c r="S359" s="9"/>
    </row>
    <row r="360" spans="1:19" x14ac:dyDescent="0.25">
      <c r="A360" s="5" t="s">
        <v>25</v>
      </c>
      <c r="B360" s="9" t="s">
        <v>29</v>
      </c>
      <c r="C360" s="9" t="s">
        <v>397</v>
      </c>
      <c r="D360" s="22">
        <v>45889</v>
      </c>
      <c r="E360" s="9">
        <v>2</v>
      </c>
      <c r="F360" s="10" t="s">
        <v>53</v>
      </c>
      <c r="G360" s="9" t="s">
        <v>85</v>
      </c>
      <c r="H360" s="9">
        <v>66</v>
      </c>
      <c r="I360" s="9" t="s">
        <v>262</v>
      </c>
      <c r="J360" s="38">
        <f t="shared" si="53"/>
        <v>66</v>
      </c>
      <c r="K360" s="38">
        <f t="shared" si="54"/>
        <v>19.756666666666668</v>
      </c>
      <c r="L360" s="38">
        <f t="shared" si="55"/>
        <v>46.243333333333332</v>
      </c>
      <c r="M360" s="38">
        <v>64.09</v>
      </c>
      <c r="N360" s="38">
        <f t="shared" si="51"/>
        <v>19.756666666666668</v>
      </c>
      <c r="O360" s="38">
        <f t="shared" si="52"/>
        <v>44.333333333333336</v>
      </c>
      <c r="P360" s="38"/>
      <c r="Q360" s="38"/>
      <c r="R360" s="38">
        <f t="shared" si="56"/>
        <v>4.3082706766917216</v>
      </c>
      <c r="S360" s="9"/>
    </row>
    <row r="361" spans="1:19" x14ac:dyDescent="0.25">
      <c r="A361" s="5" t="s">
        <v>25</v>
      </c>
      <c r="B361" s="9" t="s">
        <v>29</v>
      </c>
      <c r="C361" s="9" t="s">
        <v>398</v>
      </c>
      <c r="D361" s="22">
        <v>45889</v>
      </c>
      <c r="E361" s="9">
        <v>2</v>
      </c>
      <c r="F361" s="10" t="s">
        <v>54</v>
      </c>
      <c r="G361" s="9" t="s">
        <v>85</v>
      </c>
      <c r="H361" s="9">
        <v>88</v>
      </c>
      <c r="I361" s="9" t="s">
        <v>263</v>
      </c>
      <c r="J361" s="38">
        <f t="shared" si="53"/>
        <v>88</v>
      </c>
      <c r="K361" s="38">
        <f t="shared" si="54"/>
        <v>19.756666666666668</v>
      </c>
      <c r="L361" s="38">
        <f t="shared" si="55"/>
        <v>68.243333333333339</v>
      </c>
      <c r="M361" s="38">
        <v>85.18</v>
      </c>
      <c r="N361" s="38">
        <f t="shared" si="51"/>
        <v>19.756666666666668</v>
      </c>
      <c r="O361" s="38">
        <f t="shared" si="52"/>
        <v>65.423333333333346</v>
      </c>
      <c r="P361" s="38"/>
      <c r="Q361" s="38"/>
      <c r="R361" s="38">
        <f t="shared" si="56"/>
        <v>4.3103887501910521</v>
      </c>
      <c r="S361" s="9"/>
    </row>
    <row r="362" spans="1:19" x14ac:dyDescent="0.25">
      <c r="A362" s="5" t="s">
        <v>25</v>
      </c>
      <c r="B362" s="9" t="s">
        <v>29</v>
      </c>
      <c r="C362" s="9" t="s">
        <v>399</v>
      </c>
      <c r="D362" s="22">
        <v>45889</v>
      </c>
      <c r="E362" s="9">
        <v>2</v>
      </c>
      <c r="F362" s="10" t="s">
        <v>55</v>
      </c>
      <c r="G362" s="9" t="s">
        <v>85</v>
      </c>
      <c r="H362" s="9">
        <v>108</v>
      </c>
      <c r="I362" s="9" t="s">
        <v>264</v>
      </c>
      <c r="J362" s="38">
        <f t="shared" si="53"/>
        <v>108</v>
      </c>
      <c r="K362" s="38">
        <f t="shared" si="54"/>
        <v>19.756666666666668</v>
      </c>
      <c r="L362" s="38">
        <f t="shared" si="55"/>
        <v>88.243333333333339</v>
      </c>
      <c r="M362" s="38">
        <v>103.83</v>
      </c>
      <c r="N362" s="38">
        <f t="shared" si="51"/>
        <v>19.756666666666668</v>
      </c>
      <c r="O362" s="38">
        <f t="shared" si="52"/>
        <v>84.073333333333323</v>
      </c>
      <c r="P362" s="38"/>
      <c r="Q362" s="38"/>
      <c r="R362" s="38">
        <f t="shared" si="56"/>
        <v>4.9599555943224365</v>
      </c>
      <c r="S362" s="9"/>
    </row>
    <row r="363" spans="1:19" x14ac:dyDescent="0.25">
      <c r="A363" s="5" t="s">
        <v>25</v>
      </c>
      <c r="B363" s="9" t="s">
        <v>29</v>
      </c>
      <c r="C363" s="9" t="s">
        <v>400</v>
      </c>
      <c r="D363" s="22">
        <v>45889</v>
      </c>
      <c r="E363" s="9">
        <v>2</v>
      </c>
      <c r="F363" s="10" t="s">
        <v>56</v>
      </c>
      <c r="G363" s="9" t="s">
        <v>85</v>
      </c>
      <c r="H363" s="9">
        <v>107</v>
      </c>
      <c r="I363" s="9" t="s">
        <v>264</v>
      </c>
      <c r="J363" s="38">
        <f t="shared" si="53"/>
        <v>107</v>
      </c>
      <c r="K363" s="38">
        <f t="shared" si="54"/>
        <v>19.756666666666668</v>
      </c>
      <c r="L363" s="38">
        <f t="shared" si="55"/>
        <v>87.243333333333339</v>
      </c>
      <c r="M363" s="38">
        <v>103.21</v>
      </c>
      <c r="N363" s="38">
        <f t="shared" si="51"/>
        <v>19.756666666666668</v>
      </c>
      <c r="O363" s="38">
        <f t="shared" si="52"/>
        <v>83.453333333333319</v>
      </c>
      <c r="P363" s="38"/>
      <c r="Q363" s="38"/>
      <c r="R363" s="38">
        <f t="shared" si="56"/>
        <v>4.5414602971720974</v>
      </c>
      <c r="S363" s="9"/>
    </row>
    <row r="364" spans="1:19" x14ac:dyDescent="0.25">
      <c r="A364" s="5" t="s">
        <v>25</v>
      </c>
      <c r="B364" s="9" t="s">
        <v>29</v>
      </c>
      <c r="C364" s="9" t="s">
        <v>32</v>
      </c>
      <c r="D364" s="22">
        <v>45889</v>
      </c>
      <c r="E364" s="9">
        <v>2</v>
      </c>
      <c r="F364" s="10" t="s">
        <v>57</v>
      </c>
      <c r="G364" s="9" t="s">
        <v>85</v>
      </c>
      <c r="H364" s="9">
        <v>115</v>
      </c>
      <c r="I364" s="9" t="s">
        <v>264</v>
      </c>
      <c r="J364" s="38">
        <f t="shared" si="53"/>
        <v>115</v>
      </c>
      <c r="K364" s="38">
        <f t="shared" si="54"/>
        <v>19.756666666666668</v>
      </c>
      <c r="L364" s="38">
        <f t="shared" si="55"/>
        <v>95.243333333333339</v>
      </c>
      <c r="M364" s="38">
        <v>110.65</v>
      </c>
      <c r="N364" s="38">
        <f t="shared" si="51"/>
        <v>19.756666666666668</v>
      </c>
      <c r="O364" s="38">
        <f t="shared" si="52"/>
        <v>90.893333333333345</v>
      </c>
      <c r="P364" s="38"/>
      <c r="Q364" s="38"/>
      <c r="R364" s="38">
        <f t="shared" si="56"/>
        <v>4.7858295437875826</v>
      </c>
      <c r="S364" s="9"/>
    </row>
    <row r="365" spans="1:19" x14ac:dyDescent="0.25">
      <c r="A365" s="5" t="s">
        <v>25</v>
      </c>
      <c r="B365" s="9" t="s">
        <v>29</v>
      </c>
      <c r="C365" s="9" t="s">
        <v>33</v>
      </c>
      <c r="D365" s="22">
        <v>45889</v>
      </c>
      <c r="E365" s="9">
        <v>1</v>
      </c>
      <c r="F365" s="10" t="s">
        <v>58</v>
      </c>
      <c r="G365" s="9" t="s">
        <v>85</v>
      </c>
      <c r="H365" s="9">
        <v>69</v>
      </c>
      <c r="I365" s="9" t="s">
        <v>265</v>
      </c>
      <c r="J365" s="38">
        <f t="shared" ref="J365:J376" si="57">H365</f>
        <v>69</v>
      </c>
      <c r="K365" s="38">
        <f t="shared" ref="K365:K376" si="58">AVERAGE(19.9,19.77,19.6)</f>
        <v>19.756666666666668</v>
      </c>
      <c r="L365" s="38">
        <f t="shared" ref="L365:L376" si="59">J365-K365</f>
        <v>49.243333333333332</v>
      </c>
      <c r="M365" s="38">
        <v>66.400000000000006</v>
      </c>
      <c r="N365" s="38">
        <f t="shared" si="51"/>
        <v>19.756666666666668</v>
      </c>
      <c r="O365" s="38">
        <f t="shared" si="52"/>
        <v>46.643333333333338</v>
      </c>
      <c r="P365" s="38"/>
      <c r="Q365" s="38"/>
      <c r="R365" s="38">
        <f t="shared" ref="R365:R396" si="60">((L365-O365)/O365)*100</f>
        <v>5.5742156792681925</v>
      </c>
      <c r="S365" s="9"/>
    </row>
    <row r="366" spans="1:19" x14ac:dyDescent="0.25">
      <c r="A366" s="5" t="s">
        <v>25</v>
      </c>
      <c r="B366" s="9" t="s">
        <v>29</v>
      </c>
      <c r="C366" s="9" t="s">
        <v>34</v>
      </c>
      <c r="D366" s="22">
        <v>45889</v>
      </c>
      <c r="E366" s="9">
        <v>1</v>
      </c>
      <c r="F366" s="10" t="s">
        <v>59</v>
      </c>
      <c r="G366" s="9" t="s">
        <v>85</v>
      </c>
      <c r="H366" s="9">
        <v>67</v>
      </c>
      <c r="I366" s="9" t="s">
        <v>264</v>
      </c>
      <c r="J366" s="38">
        <f t="shared" si="57"/>
        <v>67</v>
      </c>
      <c r="K366" s="38">
        <f t="shared" si="58"/>
        <v>19.756666666666668</v>
      </c>
      <c r="L366" s="38">
        <f t="shared" si="59"/>
        <v>47.243333333333332</v>
      </c>
      <c r="M366" s="38">
        <v>63.81</v>
      </c>
      <c r="N366" s="38">
        <f t="shared" si="51"/>
        <v>19.756666666666668</v>
      </c>
      <c r="O366" s="38">
        <f t="shared" si="52"/>
        <v>44.053333333333335</v>
      </c>
      <c r="P366" s="38"/>
      <c r="Q366" s="38"/>
      <c r="R366" s="38">
        <f t="shared" si="60"/>
        <v>7.241222760290551</v>
      </c>
      <c r="S366" s="9"/>
    </row>
    <row r="367" spans="1:19" x14ac:dyDescent="0.25">
      <c r="A367" s="5" t="s">
        <v>25</v>
      </c>
      <c r="B367" s="9" t="s">
        <v>29</v>
      </c>
      <c r="C367" s="9" t="s">
        <v>35</v>
      </c>
      <c r="D367" s="22">
        <v>45889</v>
      </c>
      <c r="E367" s="9">
        <v>1</v>
      </c>
      <c r="F367" s="10" t="s">
        <v>60</v>
      </c>
      <c r="G367" s="9" t="s">
        <v>85</v>
      </c>
      <c r="H367" s="9">
        <v>62</v>
      </c>
      <c r="I367" s="9" t="s">
        <v>264</v>
      </c>
      <c r="J367" s="38">
        <f t="shared" si="57"/>
        <v>62</v>
      </c>
      <c r="K367" s="38">
        <f t="shared" si="58"/>
        <v>19.756666666666668</v>
      </c>
      <c r="L367" s="38">
        <f t="shared" si="59"/>
        <v>42.243333333333332</v>
      </c>
      <c r="M367" s="38">
        <v>59.29</v>
      </c>
      <c r="N367" s="38">
        <f t="shared" si="51"/>
        <v>19.756666666666668</v>
      </c>
      <c r="O367" s="38">
        <f t="shared" si="52"/>
        <v>39.533333333333331</v>
      </c>
      <c r="P367" s="38"/>
      <c r="Q367" s="38"/>
      <c r="R367" s="38">
        <f t="shared" si="60"/>
        <v>6.85497470489039</v>
      </c>
      <c r="S367" s="9"/>
    </row>
    <row r="368" spans="1:19" x14ac:dyDescent="0.25">
      <c r="A368" s="5" t="s">
        <v>25</v>
      </c>
      <c r="B368" s="9" t="s">
        <v>29</v>
      </c>
      <c r="C368" s="9" t="s">
        <v>36</v>
      </c>
      <c r="D368" s="22">
        <v>45889</v>
      </c>
      <c r="E368" s="9">
        <v>1</v>
      </c>
      <c r="F368" s="10" t="s">
        <v>61</v>
      </c>
      <c r="G368" s="9" t="s">
        <v>85</v>
      </c>
      <c r="H368" s="9">
        <v>65</v>
      </c>
      <c r="I368" s="9" t="s">
        <v>264</v>
      </c>
      <c r="J368" s="38">
        <f t="shared" si="57"/>
        <v>65</v>
      </c>
      <c r="K368" s="38">
        <f t="shared" si="58"/>
        <v>19.756666666666668</v>
      </c>
      <c r="L368" s="38">
        <f t="shared" si="59"/>
        <v>45.243333333333332</v>
      </c>
      <c r="M368" s="38">
        <v>62.7</v>
      </c>
      <c r="N368" s="38">
        <f t="shared" si="51"/>
        <v>19.756666666666668</v>
      </c>
      <c r="O368" s="38">
        <f t="shared" si="52"/>
        <v>42.943333333333335</v>
      </c>
      <c r="P368" s="38"/>
      <c r="Q368" s="38"/>
      <c r="R368" s="38">
        <f t="shared" si="60"/>
        <v>5.3558953659861759</v>
      </c>
      <c r="S368" s="9"/>
    </row>
    <row r="369" spans="1:19" x14ac:dyDescent="0.25">
      <c r="A369" s="5" t="s">
        <v>25</v>
      </c>
      <c r="B369" s="9" t="s">
        <v>29</v>
      </c>
      <c r="C369" s="9" t="s">
        <v>37</v>
      </c>
      <c r="D369" s="22">
        <v>45889</v>
      </c>
      <c r="E369" s="9">
        <v>1</v>
      </c>
      <c r="F369" s="10" t="s">
        <v>62</v>
      </c>
      <c r="G369" s="9" t="s">
        <v>85</v>
      </c>
      <c r="H369" s="9">
        <v>63</v>
      </c>
      <c r="I369" s="9" t="s">
        <v>264</v>
      </c>
      <c r="J369" s="38">
        <f t="shared" si="57"/>
        <v>63</v>
      </c>
      <c r="K369" s="38">
        <f t="shared" si="58"/>
        <v>19.756666666666668</v>
      </c>
      <c r="L369" s="38">
        <f t="shared" si="59"/>
        <v>43.243333333333332</v>
      </c>
      <c r="M369" s="38">
        <v>61.51</v>
      </c>
      <c r="N369" s="38">
        <f t="shared" si="51"/>
        <v>19.756666666666668</v>
      </c>
      <c r="O369" s="38">
        <f t="shared" si="52"/>
        <v>41.75333333333333</v>
      </c>
      <c r="P369" s="38"/>
      <c r="Q369" s="38"/>
      <c r="R369" s="38">
        <f t="shared" si="60"/>
        <v>3.5685773590930912</v>
      </c>
      <c r="S369" s="9"/>
    </row>
    <row r="370" spans="1:19" x14ac:dyDescent="0.25">
      <c r="A370" s="5" t="s">
        <v>25</v>
      </c>
      <c r="B370" s="9" t="s">
        <v>29</v>
      </c>
      <c r="C370" s="9" t="s">
        <v>38</v>
      </c>
      <c r="D370" s="22">
        <v>45889</v>
      </c>
      <c r="E370" s="9">
        <v>1</v>
      </c>
      <c r="F370" s="10" t="s">
        <v>63</v>
      </c>
      <c r="G370" s="9" t="s">
        <v>85</v>
      </c>
      <c r="H370" s="9">
        <v>74</v>
      </c>
      <c r="I370" s="9" t="s">
        <v>264</v>
      </c>
      <c r="J370" s="38">
        <f t="shared" si="57"/>
        <v>74</v>
      </c>
      <c r="K370" s="38">
        <f t="shared" si="58"/>
        <v>19.756666666666668</v>
      </c>
      <c r="L370" s="38">
        <f t="shared" si="59"/>
        <v>54.243333333333332</v>
      </c>
      <c r="M370" s="38">
        <v>71.95</v>
      </c>
      <c r="N370" s="38">
        <f t="shared" si="51"/>
        <v>19.756666666666668</v>
      </c>
      <c r="O370" s="38">
        <f t="shared" si="52"/>
        <v>52.193333333333335</v>
      </c>
      <c r="P370" s="38"/>
      <c r="Q370" s="38"/>
      <c r="R370" s="38">
        <f t="shared" si="60"/>
        <v>3.9277046876995727</v>
      </c>
      <c r="S370" s="9"/>
    </row>
    <row r="371" spans="1:19" ht="30" x14ac:dyDescent="0.25">
      <c r="A371" s="5" t="s">
        <v>25</v>
      </c>
      <c r="B371" s="9" t="s">
        <v>29</v>
      </c>
      <c r="C371" s="9" t="s">
        <v>39</v>
      </c>
      <c r="D371" s="22">
        <v>45889</v>
      </c>
      <c r="E371" s="9">
        <v>1</v>
      </c>
      <c r="F371" s="10" t="s">
        <v>64</v>
      </c>
      <c r="G371" s="9" t="s">
        <v>85</v>
      </c>
      <c r="H371" s="9">
        <v>59</v>
      </c>
      <c r="I371" s="9" t="s">
        <v>266</v>
      </c>
      <c r="J371" s="38">
        <f t="shared" si="57"/>
        <v>59</v>
      </c>
      <c r="K371" s="38">
        <f t="shared" si="58"/>
        <v>19.756666666666668</v>
      </c>
      <c r="L371" s="38">
        <f t="shared" si="59"/>
        <v>39.243333333333332</v>
      </c>
      <c r="M371" s="38">
        <v>57.2</v>
      </c>
      <c r="N371" s="38">
        <f t="shared" si="51"/>
        <v>19.756666666666668</v>
      </c>
      <c r="O371" s="38">
        <f t="shared" si="52"/>
        <v>37.443333333333335</v>
      </c>
      <c r="P371" s="38"/>
      <c r="Q371" s="38"/>
      <c r="R371" s="38">
        <f t="shared" si="60"/>
        <v>4.8072643105136574</v>
      </c>
      <c r="S371" s="9"/>
    </row>
    <row r="372" spans="1:19" ht="30" x14ac:dyDescent="0.25">
      <c r="A372" s="5" t="s">
        <v>25</v>
      </c>
      <c r="B372" s="9" t="s">
        <v>29</v>
      </c>
      <c r="C372" s="9" t="s">
        <v>40</v>
      </c>
      <c r="D372" s="22">
        <v>45889</v>
      </c>
      <c r="E372" s="9">
        <v>1</v>
      </c>
      <c r="F372" s="10" t="s">
        <v>65</v>
      </c>
      <c r="G372" s="9" t="s">
        <v>85</v>
      </c>
      <c r="H372" s="9">
        <v>69</v>
      </c>
      <c r="I372" s="9" t="s">
        <v>266</v>
      </c>
      <c r="J372" s="38">
        <f t="shared" si="57"/>
        <v>69</v>
      </c>
      <c r="K372" s="38">
        <f t="shared" si="58"/>
        <v>19.756666666666668</v>
      </c>
      <c r="L372" s="38">
        <f t="shared" si="59"/>
        <v>49.243333333333332</v>
      </c>
      <c r="M372" s="38">
        <v>66.72</v>
      </c>
      <c r="N372" s="38">
        <f t="shared" si="51"/>
        <v>19.756666666666668</v>
      </c>
      <c r="O372" s="38">
        <f t="shared" si="52"/>
        <v>46.963333333333331</v>
      </c>
      <c r="P372" s="38"/>
      <c r="Q372" s="38"/>
      <c r="R372" s="38">
        <f t="shared" si="60"/>
        <v>4.8548513024345263</v>
      </c>
      <c r="S372" s="9"/>
    </row>
    <row r="373" spans="1:19" x14ac:dyDescent="0.25">
      <c r="A373" s="5" t="s">
        <v>25</v>
      </c>
      <c r="B373" s="9" t="s">
        <v>29</v>
      </c>
      <c r="C373" s="9" t="s">
        <v>41</v>
      </c>
      <c r="D373" s="22">
        <v>45889</v>
      </c>
      <c r="E373" s="9">
        <v>1</v>
      </c>
      <c r="F373" s="10" t="s">
        <v>66</v>
      </c>
      <c r="G373" s="9" t="s">
        <v>85</v>
      </c>
      <c r="H373" s="9">
        <v>54</v>
      </c>
      <c r="I373" s="9" t="s">
        <v>265</v>
      </c>
      <c r="J373" s="38">
        <f t="shared" si="57"/>
        <v>54</v>
      </c>
      <c r="K373" s="38">
        <f t="shared" si="58"/>
        <v>19.756666666666668</v>
      </c>
      <c r="L373" s="38">
        <f t="shared" si="59"/>
        <v>34.243333333333332</v>
      </c>
      <c r="M373" s="38">
        <v>51.71</v>
      </c>
      <c r="N373" s="38">
        <f t="shared" si="51"/>
        <v>19.756666666666668</v>
      </c>
      <c r="O373" s="38">
        <f t="shared" si="52"/>
        <v>31.953333333333333</v>
      </c>
      <c r="P373" s="38"/>
      <c r="Q373" s="38"/>
      <c r="R373" s="38">
        <f t="shared" si="60"/>
        <v>7.1667014395994126</v>
      </c>
      <c r="S373" s="9"/>
    </row>
    <row r="374" spans="1:19" ht="30" x14ac:dyDescent="0.25">
      <c r="A374" s="5" t="s">
        <v>25</v>
      </c>
      <c r="B374" s="9" t="s">
        <v>29</v>
      </c>
      <c r="C374" s="9" t="s">
        <v>42</v>
      </c>
      <c r="D374" s="22">
        <v>45889</v>
      </c>
      <c r="E374" s="9">
        <v>1</v>
      </c>
      <c r="F374" s="10" t="s">
        <v>67</v>
      </c>
      <c r="G374" s="29" t="s">
        <v>116</v>
      </c>
      <c r="H374" s="9">
        <v>67</v>
      </c>
      <c r="I374" s="9" t="s">
        <v>267</v>
      </c>
      <c r="J374" s="38">
        <f t="shared" si="57"/>
        <v>67</v>
      </c>
      <c r="K374" s="38">
        <f t="shared" si="58"/>
        <v>19.756666666666668</v>
      </c>
      <c r="L374" s="38">
        <f t="shared" si="59"/>
        <v>47.243333333333332</v>
      </c>
      <c r="M374" s="38">
        <v>64.72</v>
      </c>
      <c r="N374" s="38">
        <f t="shared" si="51"/>
        <v>19.756666666666668</v>
      </c>
      <c r="O374" s="38">
        <f t="shared" si="52"/>
        <v>44.963333333333331</v>
      </c>
      <c r="P374" s="38"/>
      <c r="Q374" s="38"/>
      <c r="R374" s="38">
        <f t="shared" si="60"/>
        <v>5.0707984283490282</v>
      </c>
      <c r="S374" s="9"/>
    </row>
    <row r="375" spans="1:19" s="35" customFormat="1" ht="15.75" thickBot="1" x14ac:dyDescent="0.3">
      <c r="A375" s="19" t="s">
        <v>25</v>
      </c>
      <c r="B375" s="11" t="s">
        <v>29</v>
      </c>
      <c r="C375" s="11" t="s">
        <v>44</v>
      </c>
      <c r="D375" s="23">
        <v>45889</v>
      </c>
      <c r="E375" s="36"/>
      <c r="F375" s="14" t="s">
        <v>68</v>
      </c>
      <c r="G375" s="11" t="s">
        <v>116</v>
      </c>
      <c r="H375" s="11">
        <v>104</v>
      </c>
      <c r="I375" s="11" t="s">
        <v>268</v>
      </c>
      <c r="J375" s="41">
        <f t="shared" si="57"/>
        <v>104</v>
      </c>
      <c r="K375" s="41">
        <f t="shared" si="58"/>
        <v>19.756666666666668</v>
      </c>
      <c r="L375" s="41">
        <f t="shared" si="59"/>
        <v>84.243333333333339</v>
      </c>
      <c r="M375" s="41">
        <v>99.47</v>
      </c>
      <c r="N375" s="41">
        <f t="shared" si="51"/>
        <v>19.756666666666668</v>
      </c>
      <c r="O375" s="41">
        <f t="shared" si="52"/>
        <v>79.713333333333338</v>
      </c>
      <c r="P375" s="41">
        <v>3.5</v>
      </c>
      <c r="Q375" s="41"/>
      <c r="R375" s="41">
        <f t="shared" si="60"/>
        <v>5.6828635945471282</v>
      </c>
      <c r="S375" s="11" t="s">
        <v>384</v>
      </c>
    </row>
    <row r="376" spans="1:19" x14ac:dyDescent="0.25">
      <c r="A376" s="20" t="s">
        <v>25</v>
      </c>
      <c r="B376" s="12" t="s">
        <v>29</v>
      </c>
      <c r="C376" s="12" t="s">
        <v>45</v>
      </c>
      <c r="D376" s="24">
        <v>45889</v>
      </c>
      <c r="E376" s="59"/>
      <c r="F376" s="13" t="s">
        <v>68</v>
      </c>
      <c r="G376" s="12" t="s">
        <v>116</v>
      </c>
      <c r="H376" s="12">
        <v>139</v>
      </c>
      <c r="I376" s="12" t="s">
        <v>268</v>
      </c>
      <c r="J376" s="40">
        <f t="shared" si="57"/>
        <v>139</v>
      </c>
      <c r="K376" s="40">
        <f t="shared" si="58"/>
        <v>19.756666666666668</v>
      </c>
      <c r="L376" s="40">
        <f t="shared" si="59"/>
        <v>119.24333333333334</v>
      </c>
      <c r="M376" s="40">
        <v>132.91999999999999</v>
      </c>
      <c r="N376" s="40">
        <f t="shared" si="51"/>
        <v>19.756666666666668</v>
      </c>
      <c r="O376" s="40">
        <f t="shared" ref="O376" si="61">M376-N376</f>
        <v>113.16333333333333</v>
      </c>
      <c r="P376" s="40" t="s">
        <v>374</v>
      </c>
      <c r="Q376" s="40"/>
      <c r="R376" s="40">
        <f t="shared" si="60"/>
        <v>5.3727650298977991</v>
      </c>
      <c r="S376" s="12" t="s">
        <v>384</v>
      </c>
    </row>
    <row r="377" spans="1:19" ht="30" x14ac:dyDescent="0.25">
      <c r="A377" s="5" t="s">
        <v>25</v>
      </c>
      <c r="B377" s="9" t="s">
        <v>28</v>
      </c>
      <c r="C377" s="9" t="s">
        <v>392</v>
      </c>
      <c r="D377" s="22">
        <v>45889</v>
      </c>
      <c r="E377" s="9">
        <v>2</v>
      </c>
      <c r="F377" s="10" t="s">
        <v>48</v>
      </c>
      <c r="G377" s="57"/>
      <c r="H377" s="37"/>
      <c r="I377" s="37"/>
      <c r="J377" s="39"/>
      <c r="K377" s="39"/>
      <c r="L377" s="39"/>
      <c r="M377" s="39"/>
      <c r="N377" s="39"/>
      <c r="O377" s="39"/>
      <c r="P377" s="38"/>
      <c r="Q377" s="38"/>
      <c r="R377" s="39" t="e">
        <f t="shared" si="60"/>
        <v>#DIV/0!</v>
      </c>
      <c r="S377" s="9" t="s">
        <v>385</v>
      </c>
    </row>
    <row r="378" spans="1:19" x14ac:dyDescent="0.25">
      <c r="A378" s="5" t="s">
        <v>25</v>
      </c>
      <c r="B378" s="9" t="s">
        <v>28</v>
      </c>
      <c r="C378" s="9" t="s">
        <v>393</v>
      </c>
      <c r="D378" s="22">
        <v>45889</v>
      </c>
      <c r="E378" s="9">
        <v>2</v>
      </c>
      <c r="F378" s="10" t="s">
        <v>49</v>
      </c>
      <c r="G378" s="9" t="s">
        <v>71</v>
      </c>
      <c r="H378" s="9">
        <v>151</v>
      </c>
      <c r="I378" s="9" t="s">
        <v>241</v>
      </c>
      <c r="J378" s="38">
        <f t="shared" ref="J378:J409" si="62">H378</f>
        <v>151</v>
      </c>
      <c r="K378" s="38">
        <f t="shared" ref="K378:K409" si="63">AVERAGE(19.9,19.77,19.6)</f>
        <v>19.756666666666668</v>
      </c>
      <c r="L378" s="38">
        <f t="shared" ref="L378:L409" si="64">J378-K378</f>
        <v>131.24333333333334</v>
      </c>
      <c r="M378" s="38">
        <v>149.65</v>
      </c>
      <c r="N378" s="38">
        <f t="shared" ref="N378:N409" si="65">AVERAGE(19.9,19.77,19.6)</f>
        <v>19.756666666666668</v>
      </c>
      <c r="O378" s="38">
        <f t="shared" ref="O378:O409" si="66">M378-N378</f>
        <v>129.89333333333335</v>
      </c>
      <c r="P378" s="38"/>
      <c r="Q378" s="38"/>
      <c r="R378" s="38">
        <f t="shared" si="60"/>
        <v>1.0393143091767558</v>
      </c>
      <c r="S378" s="9"/>
    </row>
    <row r="379" spans="1:19" x14ac:dyDescent="0.25">
      <c r="A379" s="5" t="s">
        <v>25</v>
      </c>
      <c r="B379" s="9" t="s">
        <v>28</v>
      </c>
      <c r="C379" s="9" t="s">
        <v>394</v>
      </c>
      <c r="D379" s="22">
        <v>45889</v>
      </c>
      <c r="E379" s="9">
        <v>2</v>
      </c>
      <c r="F379" s="10" t="s">
        <v>50</v>
      </c>
      <c r="G379" s="9" t="s">
        <v>71</v>
      </c>
      <c r="H379" s="9">
        <v>96</v>
      </c>
      <c r="I379" s="9" t="s">
        <v>242</v>
      </c>
      <c r="J379" s="38">
        <f t="shared" si="62"/>
        <v>96</v>
      </c>
      <c r="K379" s="38">
        <f t="shared" si="63"/>
        <v>19.756666666666668</v>
      </c>
      <c r="L379" s="38">
        <f t="shared" si="64"/>
        <v>76.243333333333339</v>
      </c>
      <c r="M379" s="38">
        <v>94.9</v>
      </c>
      <c r="N379" s="38">
        <f t="shared" si="65"/>
        <v>19.756666666666668</v>
      </c>
      <c r="O379" s="38">
        <f t="shared" si="66"/>
        <v>75.143333333333345</v>
      </c>
      <c r="P379" s="38"/>
      <c r="Q379" s="38"/>
      <c r="R379" s="38">
        <f t="shared" si="60"/>
        <v>1.4638690502594964</v>
      </c>
      <c r="S379" s="9"/>
    </row>
    <row r="380" spans="1:19" x14ac:dyDescent="0.25">
      <c r="A380" s="5" t="s">
        <v>25</v>
      </c>
      <c r="B380" s="9" t="s">
        <v>28</v>
      </c>
      <c r="C380" s="9" t="s">
        <v>395</v>
      </c>
      <c r="D380" s="22">
        <v>45889</v>
      </c>
      <c r="E380" s="9">
        <v>2</v>
      </c>
      <c r="F380" s="10" t="s">
        <v>51</v>
      </c>
      <c r="G380" s="9" t="s">
        <v>71</v>
      </c>
      <c r="H380" s="9">
        <v>108</v>
      </c>
      <c r="I380" s="9" t="s">
        <v>243</v>
      </c>
      <c r="J380" s="38">
        <f t="shared" si="62"/>
        <v>108</v>
      </c>
      <c r="K380" s="38">
        <f t="shared" si="63"/>
        <v>19.756666666666668</v>
      </c>
      <c r="L380" s="38">
        <f t="shared" si="64"/>
        <v>88.243333333333339</v>
      </c>
      <c r="M380" s="38">
        <v>106.7</v>
      </c>
      <c r="N380" s="38">
        <f t="shared" si="65"/>
        <v>19.756666666666668</v>
      </c>
      <c r="O380" s="38">
        <f t="shared" si="66"/>
        <v>86.943333333333328</v>
      </c>
      <c r="P380" s="38"/>
      <c r="Q380" s="38"/>
      <c r="R380" s="38">
        <f t="shared" si="60"/>
        <v>1.4952267760610491</v>
      </c>
      <c r="S380" s="9"/>
    </row>
    <row r="381" spans="1:19" x14ac:dyDescent="0.25">
      <c r="A381" s="5" t="s">
        <v>25</v>
      </c>
      <c r="B381" s="9" t="s">
        <v>28</v>
      </c>
      <c r="C381" s="9" t="s">
        <v>396</v>
      </c>
      <c r="D381" s="22">
        <v>45889</v>
      </c>
      <c r="E381" s="9">
        <v>2</v>
      </c>
      <c r="F381" s="10" t="s">
        <v>52</v>
      </c>
      <c r="G381" s="9" t="s">
        <v>71</v>
      </c>
      <c r="H381" s="9">
        <v>125</v>
      </c>
      <c r="I381" s="9" t="s">
        <v>243</v>
      </c>
      <c r="J381" s="38">
        <f t="shared" si="62"/>
        <v>125</v>
      </c>
      <c r="K381" s="38">
        <f t="shared" si="63"/>
        <v>19.756666666666668</v>
      </c>
      <c r="L381" s="38">
        <f t="shared" si="64"/>
        <v>105.24333333333334</v>
      </c>
      <c r="M381" s="38">
        <v>123.98</v>
      </c>
      <c r="N381" s="38">
        <f t="shared" si="65"/>
        <v>19.756666666666668</v>
      </c>
      <c r="O381" s="38">
        <f t="shared" si="66"/>
        <v>104.22333333333333</v>
      </c>
      <c r="P381" s="38"/>
      <c r="Q381" s="38"/>
      <c r="R381" s="38">
        <f t="shared" si="60"/>
        <v>0.9786676048229862</v>
      </c>
      <c r="S381" s="9"/>
    </row>
    <row r="382" spans="1:19" x14ac:dyDescent="0.25">
      <c r="A382" s="5" t="s">
        <v>25</v>
      </c>
      <c r="B382" s="9" t="s">
        <v>28</v>
      </c>
      <c r="C382" s="9" t="s">
        <v>397</v>
      </c>
      <c r="D382" s="22">
        <v>45889</v>
      </c>
      <c r="E382" s="9">
        <v>2</v>
      </c>
      <c r="F382" s="10" t="s">
        <v>53</v>
      </c>
      <c r="G382" s="9" t="s">
        <v>71</v>
      </c>
      <c r="H382" s="9">
        <v>93</v>
      </c>
      <c r="I382" s="9" t="s">
        <v>172</v>
      </c>
      <c r="J382" s="38">
        <f t="shared" si="62"/>
        <v>93</v>
      </c>
      <c r="K382" s="38">
        <f t="shared" si="63"/>
        <v>19.756666666666668</v>
      </c>
      <c r="L382" s="38">
        <f t="shared" si="64"/>
        <v>73.243333333333339</v>
      </c>
      <c r="M382" s="38">
        <v>92.31</v>
      </c>
      <c r="N382" s="38">
        <f t="shared" si="65"/>
        <v>19.756666666666668</v>
      </c>
      <c r="O382" s="38">
        <f t="shared" si="66"/>
        <v>72.553333333333342</v>
      </c>
      <c r="P382" s="38"/>
      <c r="Q382" s="38"/>
      <c r="R382" s="38">
        <f t="shared" si="60"/>
        <v>0.95102453367637263</v>
      </c>
      <c r="S382" s="9"/>
    </row>
    <row r="383" spans="1:19" x14ac:dyDescent="0.25">
      <c r="A383" s="5" t="s">
        <v>25</v>
      </c>
      <c r="B383" s="9" t="s">
        <v>28</v>
      </c>
      <c r="C383" s="9" t="s">
        <v>398</v>
      </c>
      <c r="D383" s="22">
        <v>45889</v>
      </c>
      <c r="E383" s="9">
        <v>2</v>
      </c>
      <c r="F383" s="10" t="s">
        <v>54</v>
      </c>
      <c r="G383" s="9" t="s">
        <v>71</v>
      </c>
      <c r="H383" s="9">
        <v>277</v>
      </c>
      <c r="I383" s="9" t="s">
        <v>244</v>
      </c>
      <c r="J383" s="38">
        <f t="shared" si="62"/>
        <v>277</v>
      </c>
      <c r="K383" s="38">
        <f t="shared" si="63"/>
        <v>19.756666666666668</v>
      </c>
      <c r="L383" s="38">
        <f t="shared" si="64"/>
        <v>257.24333333333334</v>
      </c>
      <c r="M383" s="38">
        <v>276.67</v>
      </c>
      <c r="N383" s="38">
        <f t="shared" si="65"/>
        <v>19.756666666666668</v>
      </c>
      <c r="O383" s="38">
        <f t="shared" si="66"/>
        <v>256.91333333333336</v>
      </c>
      <c r="P383" s="38"/>
      <c r="Q383" s="38"/>
      <c r="R383" s="38">
        <f t="shared" si="60"/>
        <v>0.12844798505331917</v>
      </c>
      <c r="S383" s="9"/>
    </row>
    <row r="384" spans="1:19" x14ac:dyDescent="0.25">
      <c r="A384" s="5" t="s">
        <v>25</v>
      </c>
      <c r="B384" s="9" t="s">
        <v>28</v>
      </c>
      <c r="C384" s="9" t="s">
        <v>399</v>
      </c>
      <c r="D384" s="22">
        <v>45889</v>
      </c>
      <c r="E384" s="9">
        <v>2</v>
      </c>
      <c r="F384" s="10" t="s">
        <v>55</v>
      </c>
      <c r="G384" s="9" t="s">
        <v>85</v>
      </c>
      <c r="H384" s="9">
        <v>91</v>
      </c>
      <c r="I384" s="9" t="s">
        <v>245</v>
      </c>
      <c r="J384" s="38">
        <f t="shared" si="62"/>
        <v>91</v>
      </c>
      <c r="K384" s="38">
        <f t="shared" si="63"/>
        <v>19.756666666666668</v>
      </c>
      <c r="L384" s="38">
        <f t="shared" si="64"/>
        <v>71.243333333333339</v>
      </c>
      <c r="M384" s="38">
        <v>89.07</v>
      </c>
      <c r="N384" s="38">
        <f t="shared" si="65"/>
        <v>19.756666666666668</v>
      </c>
      <c r="O384" s="38">
        <f t="shared" si="66"/>
        <v>69.313333333333333</v>
      </c>
      <c r="P384" s="38"/>
      <c r="Q384" s="38"/>
      <c r="R384" s="38">
        <f t="shared" si="60"/>
        <v>2.7844570549196983</v>
      </c>
      <c r="S384" s="9"/>
    </row>
    <row r="385" spans="1:19" x14ac:dyDescent="0.25">
      <c r="A385" s="5" t="s">
        <v>25</v>
      </c>
      <c r="B385" s="9" t="s">
        <v>28</v>
      </c>
      <c r="C385" s="9" t="s">
        <v>400</v>
      </c>
      <c r="D385" s="22">
        <v>45889</v>
      </c>
      <c r="E385" s="9">
        <v>2</v>
      </c>
      <c r="F385" s="10" t="s">
        <v>56</v>
      </c>
      <c r="G385" s="9" t="s">
        <v>85</v>
      </c>
      <c r="H385" s="9">
        <v>116</v>
      </c>
      <c r="I385" s="9" t="s">
        <v>246</v>
      </c>
      <c r="J385" s="38">
        <f t="shared" si="62"/>
        <v>116</v>
      </c>
      <c r="K385" s="38">
        <f t="shared" si="63"/>
        <v>19.756666666666668</v>
      </c>
      <c r="L385" s="38">
        <f t="shared" si="64"/>
        <v>96.243333333333339</v>
      </c>
      <c r="M385" s="38">
        <v>113.24</v>
      </c>
      <c r="N385" s="38">
        <f t="shared" si="65"/>
        <v>19.756666666666668</v>
      </c>
      <c r="O385" s="38">
        <f t="shared" si="66"/>
        <v>93.48333333333332</v>
      </c>
      <c r="P385" s="38"/>
      <c r="Q385" s="38"/>
      <c r="R385" s="38">
        <f t="shared" si="60"/>
        <v>2.9523979318951894</v>
      </c>
      <c r="S385" s="9"/>
    </row>
    <row r="386" spans="1:19" x14ac:dyDescent="0.25">
      <c r="A386" s="5" t="s">
        <v>25</v>
      </c>
      <c r="B386" s="9" t="s">
        <v>28</v>
      </c>
      <c r="C386" s="9" t="s">
        <v>32</v>
      </c>
      <c r="D386" s="22">
        <v>45889</v>
      </c>
      <c r="E386" s="9">
        <v>2</v>
      </c>
      <c r="F386" s="10" t="s">
        <v>57</v>
      </c>
      <c r="G386" s="9" t="s">
        <v>85</v>
      </c>
      <c r="H386" s="9">
        <v>117</v>
      </c>
      <c r="I386" s="9" t="s">
        <v>247</v>
      </c>
      <c r="J386" s="38">
        <f t="shared" si="62"/>
        <v>117</v>
      </c>
      <c r="K386" s="38">
        <f t="shared" si="63"/>
        <v>19.756666666666668</v>
      </c>
      <c r="L386" s="38">
        <f t="shared" si="64"/>
        <v>97.243333333333339</v>
      </c>
      <c r="M386" s="38">
        <v>113</v>
      </c>
      <c r="N386" s="38">
        <f t="shared" si="65"/>
        <v>19.756666666666668</v>
      </c>
      <c r="O386" s="38">
        <f t="shared" si="66"/>
        <v>93.243333333333339</v>
      </c>
      <c r="P386" s="38"/>
      <c r="Q386" s="38"/>
      <c r="R386" s="38">
        <f t="shared" si="60"/>
        <v>4.2898509276802628</v>
      </c>
      <c r="S386" s="9"/>
    </row>
    <row r="387" spans="1:19" x14ac:dyDescent="0.25">
      <c r="A387" s="5" t="s">
        <v>25</v>
      </c>
      <c r="B387" s="9" t="s">
        <v>28</v>
      </c>
      <c r="C387" s="9" t="s">
        <v>33</v>
      </c>
      <c r="D387" s="22">
        <v>45889</v>
      </c>
      <c r="E387" s="9">
        <v>1</v>
      </c>
      <c r="F387" s="10" t="s">
        <v>58</v>
      </c>
      <c r="G387" s="9" t="s">
        <v>85</v>
      </c>
      <c r="H387" s="9">
        <v>72</v>
      </c>
      <c r="I387" s="9" t="s">
        <v>248</v>
      </c>
      <c r="J387" s="38">
        <f t="shared" si="62"/>
        <v>72</v>
      </c>
      <c r="K387" s="38">
        <f t="shared" si="63"/>
        <v>19.756666666666668</v>
      </c>
      <c r="L387" s="38">
        <f t="shared" si="64"/>
        <v>52.243333333333332</v>
      </c>
      <c r="M387" s="38">
        <v>69.98</v>
      </c>
      <c r="N387" s="38">
        <f t="shared" si="65"/>
        <v>19.756666666666668</v>
      </c>
      <c r="O387" s="38">
        <f t="shared" si="66"/>
        <v>50.223333333333336</v>
      </c>
      <c r="P387" s="38"/>
      <c r="Q387" s="38"/>
      <c r="R387" s="38">
        <f t="shared" si="60"/>
        <v>4.0220349107320548</v>
      </c>
      <c r="S387" s="9"/>
    </row>
    <row r="388" spans="1:19" ht="30" x14ac:dyDescent="0.25">
      <c r="A388" s="5" t="s">
        <v>25</v>
      </c>
      <c r="B388" s="9" t="s">
        <v>28</v>
      </c>
      <c r="C388" s="9" t="s">
        <v>34</v>
      </c>
      <c r="D388" s="22">
        <v>45889</v>
      </c>
      <c r="E388" s="9">
        <v>1</v>
      </c>
      <c r="F388" s="10" t="s">
        <v>59</v>
      </c>
      <c r="G388" s="9" t="s">
        <v>85</v>
      </c>
      <c r="H388" s="9">
        <v>75</v>
      </c>
      <c r="I388" s="9" t="s">
        <v>249</v>
      </c>
      <c r="J388" s="38">
        <f t="shared" si="62"/>
        <v>75</v>
      </c>
      <c r="K388" s="38">
        <f t="shared" si="63"/>
        <v>19.756666666666668</v>
      </c>
      <c r="L388" s="38">
        <f t="shared" si="64"/>
        <v>55.243333333333332</v>
      </c>
      <c r="M388" s="38">
        <v>71.94</v>
      </c>
      <c r="N388" s="38">
        <f t="shared" si="65"/>
        <v>19.756666666666668</v>
      </c>
      <c r="O388" s="38">
        <f t="shared" si="66"/>
        <v>52.18333333333333</v>
      </c>
      <c r="P388" s="38"/>
      <c r="Q388" s="38"/>
      <c r="R388" s="38">
        <f t="shared" si="60"/>
        <v>5.8639412328329659</v>
      </c>
      <c r="S388" s="9"/>
    </row>
    <row r="389" spans="1:19" x14ac:dyDescent="0.25">
      <c r="A389" s="5" t="s">
        <v>25</v>
      </c>
      <c r="B389" s="9" t="s">
        <v>28</v>
      </c>
      <c r="C389" s="9" t="s">
        <v>35</v>
      </c>
      <c r="D389" s="22">
        <v>45889</v>
      </c>
      <c r="E389" s="9">
        <v>1</v>
      </c>
      <c r="F389" s="10" t="s">
        <v>60</v>
      </c>
      <c r="G389" s="9" t="s">
        <v>85</v>
      </c>
      <c r="H389" s="9">
        <v>50</v>
      </c>
      <c r="I389" s="9" t="s">
        <v>250</v>
      </c>
      <c r="J389" s="38">
        <f t="shared" si="62"/>
        <v>50</v>
      </c>
      <c r="K389" s="38">
        <f t="shared" si="63"/>
        <v>19.756666666666668</v>
      </c>
      <c r="L389" s="38">
        <f t="shared" si="64"/>
        <v>30.243333333333332</v>
      </c>
      <c r="M389" s="38">
        <v>48.72</v>
      </c>
      <c r="N389" s="38">
        <f t="shared" si="65"/>
        <v>19.756666666666668</v>
      </c>
      <c r="O389" s="38">
        <f t="shared" si="66"/>
        <v>28.963333333333331</v>
      </c>
      <c r="P389" s="38"/>
      <c r="Q389" s="38"/>
      <c r="R389" s="38">
        <f t="shared" si="60"/>
        <v>4.4193808263321488</v>
      </c>
      <c r="S389" s="9"/>
    </row>
    <row r="390" spans="1:19" x14ac:dyDescent="0.25">
      <c r="A390" s="5" t="s">
        <v>25</v>
      </c>
      <c r="B390" s="9" t="s">
        <v>28</v>
      </c>
      <c r="C390" s="9" t="s">
        <v>36</v>
      </c>
      <c r="D390" s="22">
        <v>45889</v>
      </c>
      <c r="E390" s="9">
        <v>1</v>
      </c>
      <c r="F390" s="10" t="s">
        <v>61</v>
      </c>
      <c r="G390" s="9" t="s">
        <v>85</v>
      </c>
      <c r="H390" s="9">
        <v>54</v>
      </c>
      <c r="I390" s="9" t="s">
        <v>251</v>
      </c>
      <c r="J390" s="38">
        <f t="shared" si="62"/>
        <v>54</v>
      </c>
      <c r="K390" s="38">
        <f t="shared" si="63"/>
        <v>19.756666666666668</v>
      </c>
      <c r="L390" s="38">
        <f t="shared" si="64"/>
        <v>34.243333333333332</v>
      </c>
      <c r="M390" s="38">
        <v>51.34</v>
      </c>
      <c r="N390" s="38">
        <f t="shared" si="65"/>
        <v>19.756666666666668</v>
      </c>
      <c r="O390" s="38">
        <f t="shared" si="66"/>
        <v>31.583333333333336</v>
      </c>
      <c r="P390" s="38"/>
      <c r="Q390" s="38"/>
      <c r="R390" s="38">
        <f t="shared" si="60"/>
        <v>8.4221635883904895</v>
      </c>
      <c r="S390" s="9"/>
    </row>
    <row r="391" spans="1:19" x14ac:dyDescent="0.25">
      <c r="A391" s="5" t="s">
        <v>25</v>
      </c>
      <c r="B391" s="9" t="s">
        <v>28</v>
      </c>
      <c r="C391" s="9" t="s">
        <v>37</v>
      </c>
      <c r="D391" s="22">
        <v>45889</v>
      </c>
      <c r="E391" s="9">
        <v>1</v>
      </c>
      <c r="F391" s="10" t="s">
        <v>62</v>
      </c>
      <c r="G391" s="9" t="s">
        <v>85</v>
      </c>
      <c r="H391" s="9">
        <v>54</v>
      </c>
      <c r="I391" s="9" t="s">
        <v>251</v>
      </c>
      <c r="J391" s="38">
        <f t="shared" si="62"/>
        <v>54</v>
      </c>
      <c r="K391" s="38">
        <f t="shared" si="63"/>
        <v>19.756666666666668</v>
      </c>
      <c r="L391" s="38">
        <f t="shared" si="64"/>
        <v>34.243333333333332</v>
      </c>
      <c r="M391" s="38">
        <v>52.18</v>
      </c>
      <c r="N391" s="38">
        <f t="shared" si="65"/>
        <v>19.756666666666668</v>
      </c>
      <c r="O391" s="38">
        <f t="shared" si="66"/>
        <v>32.423333333333332</v>
      </c>
      <c r="P391" s="38"/>
      <c r="Q391" s="38"/>
      <c r="R391" s="38">
        <f t="shared" si="60"/>
        <v>5.6132414927521346</v>
      </c>
      <c r="S391" s="9"/>
    </row>
    <row r="392" spans="1:19" x14ac:dyDescent="0.25">
      <c r="A392" s="5" t="s">
        <v>25</v>
      </c>
      <c r="B392" s="9" t="s">
        <v>28</v>
      </c>
      <c r="C392" s="9" t="s">
        <v>38</v>
      </c>
      <c r="D392" s="22">
        <v>45889</v>
      </c>
      <c r="E392" s="9">
        <v>1</v>
      </c>
      <c r="F392" s="10" t="s">
        <v>63</v>
      </c>
      <c r="G392" s="9" t="s">
        <v>85</v>
      </c>
      <c r="H392" s="9">
        <v>58</v>
      </c>
      <c r="I392" s="9" t="s">
        <v>251</v>
      </c>
      <c r="J392" s="38">
        <f t="shared" si="62"/>
        <v>58</v>
      </c>
      <c r="K392" s="38">
        <f t="shared" si="63"/>
        <v>19.756666666666668</v>
      </c>
      <c r="L392" s="38">
        <f t="shared" si="64"/>
        <v>38.243333333333332</v>
      </c>
      <c r="M392" s="38">
        <v>55.3</v>
      </c>
      <c r="N392" s="38">
        <f t="shared" si="65"/>
        <v>19.756666666666668</v>
      </c>
      <c r="O392" s="38">
        <f t="shared" si="66"/>
        <v>35.543333333333329</v>
      </c>
      <c r="P392" s="38"/>
      <c r="Q392" s="38"/>
      <c r="R392" s="38">
        <f t="shared" si="60"/>
        <v>7.5963612491794148</v>
      </c>
      <c r="S392" s="9"/>
    </row>
    <row r="393" spans="1:19" x14ac:dyDescent="0.25">
      <c r="A393" s="5" t="s">
        <v>25</v>
      </c>
      <c r="B393" s="9" t="s">
        <v>28</v>
      </c>
      <c r="C393" s="9" t="s">
        <v>39</v>
      </c>
      <c r="D393" s="22">
        <v>45889</v>
      </c>
      <c r="E393" s="9">
        <v>1</v>
      </c>
      <c r="F393" s="10" t="s">
        <v>64</v>
      </c>
      <c r="G393" s="9" t="s">
        <v>74</v>
      </c>
      <c r="H393" s="9">
        <v>57</v>
      </c>
      <c r="I393" s="9" t="s">
        <v>251</v>
      </c>
      <c r="J393" s="38">
        <f t="shared" si="62"/>
        <v>57</v>
      </c>
      <c r="K393" s="38">
        <f t="shared" si="63"/>
        <v>19.756666666666668</v>
      </c>
      <c r="L393" s="38">
        <f t="shared" si="64"/>
        <v>37.243333333333332</v>
      </c>
      <c r="M393" s="38">
        <v>54.29</v>
      </c>
      <c r="N393" s="38">
        <f t="shared" si="65"/>
        <v>19.756666666666668</v>
      </c>
      <c r="O393" s="38">
        <f t="shared" si="66"/>
        <v>34.533333333333331</v>
      </c>
      <c r="P393" s="38"/>
      <c r="Q393" s="38"/>
      <c r="R393" s="38">
        <f t="shared" si="60"/>
        <v>7.8474903474903508</v>
      </c>
      <c r="S393" s="9"/>
    </row>
    <row r="394" spans="1:19" x14ac:dyDescent="0.25">
      <c r="A394" s="5" t="s">
        <v>25</v>
      </c>
      <c r="B394" s="9" t="s">
        <v>28</v>
      </c>
      <c r="C394" s="9" t="s">
        <v>40</v>
      </c>
      <c r="D394" s="22">
        <v>45889</v>
      </c>
      <c r="E394" s="9">
        <v>1</v>
      </c>
      <c r="F394" s="10" t="s">
        <v>65</v>
      </c>
      <c r="G394" s="9" t="s">
        <v>74</v>
      </c>
      <c r="H394" s="9">
        <v>67</v>
      </c>
      <c r="I394" s="9" t="s">
        <v>252</v>
      </c>
      <c r="J394" s="38">
        <f t="shared" si="62"/>
        <v>67</v>
      </c>
      <c r="K394" s="38">
        <f t="shared" si="63"/>
        <v>19.756666666666668</v>
      </c>
      <c r="L394" s="38">
        <f t="shared" si="64"/>
        <v>47.243333333333332</v>
      </c>
      <c r="M394" s="38">
        <v>64.44</v>
      </c>
      <c r="N394" s="38">
        <f t="shared" si="65"/>
        <v>19.756666666666668</v>
      </c>
      <c r="O394" s="38">
        <f t="shared" si="66"/>
        <v>44.68333333333333</v>
      </c>
      <c r="P394" s="38"/>
      <c r="Q394" s="38"/>
      <c r="R394" s="38">
        <f t="shared" si="60"/>
        <v>5.7292055203282413</v>
      </c>
      <c r="S394" s="9"/>
    </row>
    <row r="395" spans="1:19" x14ac:dyDescent="0.25">
      <c r="A395" s="5" t="s">
        <v>25</v>
      </c>
      <c r="B395" s="9" t="s">
        <v>28</v>
      </c>
      <c r="C395" s="9" t="s">
        <v>41</v>
      </c>
      <c r="D395" s="22">
        <v>45889</v>
      </c>
      <c r="E395" s="9">
        <v>1</v>
      </c>
      <c r="F395" s="10" t="s">
        <v>66</v>
      </c>
      <c r="G395" s="9" t="s">
        <v>74</v>
      </c>
      <c r="H395" s="9">
        <v>87</v>
      </c>
      <c r="I395" s="9" t="s">
        <v>253</v>
      </c>
      <c r="J395" s="38">
        <f t="shared" si="62"/>
        <v>87</v>
      </c>
      <c r="K395" s="38">
        <f t="shared" si="63"/>
        <v>19.756666666666668</v>
      </c>
      <c r="L395" s="38">
        <f t="shared" si="64"/>
        <v>67.243333333333339</v>
      </c>
      <c r="M395" s="38">
        <v>85.53</v>
      </c>
      <c r="N395" s="38">
        <f t="shared" si="65"/>
        <v>19.756666666666668</v>
      </c>
      <c r="O395" s="38">
        <f t="shared" si="66"/>
        <v>65.773333333333341</v>
      </c>
      <c r="P395" s="38"/>
      <c r="Q395" s="38"/>
      <c r="R395" s="38">
        <f t="shared" si="60"/>
        <v>2.23494830731806</v>
      </c>
      <c r="S395" s="9"/>
    </row>
    <row r="396" spans="1:19" s="35" customFormat="1" ht="15.75" thickBot="1" x14ac:dyDescent="0.3">
      <c r="A396" s="19" t="s">
        <v>25</v>
      </c>
      <c r="B396" s="11" t="s">
        <v>28</v>
      </c>
      <c r="C396" s="11" t="s">
        <v>42</v>
      </c>
      <c r="D396" s="23">
        <v>45889</v>
      </c>
      <c r="E396" s="11">
        <v>1</v>
      </c>
      <c r="F396" s="14" t="s">
        <v>67</v>
      </c>
      <c r="G396" s="11" t="s">
        <v>74</v>
      </c>
      <c r="H396" s="11">
        <v>54</v>
      </c>
      <c r="I396" s="11" t="s">
        <v>254</v>
      </c>
      <c r="J396" s="41">
        <f t="shared" si="62"/>
        <v>54</v>
      </c>
      <c r="K396" s="41">
        <f t="shared" si="63"/>
        <v>19.756666666666668</v>
      </c>
      <c r="L396" s="41">
        <f t="shared" si="64"/>
        <v>34.243333333333332</v>
      </c>
      <c r="M396" s="41">
        <v>50.9</v>
      </c>
      <c r="N396" s="41">
        <f t="shared" si="65"/>
        <v>19.756666666666668</v>
      </c>
      <c r="O396" s="41">
        <f t="shared" si="66"/>
        <v>31.143333333333331</v>
      </c>
      <c r="P396" s="41"/>
      <c r="Q396" s="41"/>
      <c r="R396" s="41">
        <f t="shared" si="60"/>
        <v>9.953976238895434</v>
      </c>
      <c r="S396" s="11"/>
    </row>
    <row r="397" spans="1:19" ht="30" x14ac:dyDescent="0.25">
      <c r="A397" s="20" t="s">
        <v>25</v>
      </c>
      <c r="B397" s="12" t="s">
        <v>28</v>
      </c>
      <c r="C397" s="12" t="s">
        <v>43</v>
      </c>
      <c r="D397" s="24">
        <v>45889</v>
      </c>
      <c r="E397" s="12">
        <v>3</v>
      </c>
      <c r="F397" s="13" t="s">
        <v>68</v>
      </c>
      <c r="G397" s="12" t="s">
        <v>74</v>
      </c>
      <c r="H397" s="12">
        <v>130</v>
      </c>
      <c r="I397" s="12" t="s">
        <v>255</v>
      </c>
      <c r="J397" s="40">
        <f t="shared" si="62"/>
        <v>130</v>
      </c>
      <c r="K397" s="40">
        <f t="shared" si="63"/>
        <v>19.756666666666668</v>
      </c>
      <c r="L397" s="40">
        <f t="shared" si="64"/>
        <v>110.24333333333334</v>
      </c>
      <c r="M397" s="40">
        <v>125.49</v>
      </c>
      <c r="N397" s="40">
        <f t="shared" si="65"/>
        <v>19.756666666666668</v>
      </c>
      <c r="O397" s="40">
        <f t="shared" si="66"/>
        <v>105.73333333333332</v>
      </c>
      <c r="P397" s="40">
        <v>4</v>
      </c>
      <c r="Q397" s="40"/>
      <c r="R397" s="40">
        <f t="shared" ref="R397:R428" si="67">((L397-O397)/O397)*100</f>
        <v>4.26544766708703</v>
      </c>
      <c r="S397" s="12"/>
    </row>
    <row r="398" spans="1:19" x14ac:dyDescent="0.25">
      <c r="A398" s="5" t="s">
        <v>25</v>
      </c>
      <c r="B398" s="9" t="s">
        <v>30</v>
      </c>
      <c r="C398" s="9" t="s">
        <v>392</v>
      </c>
      <c r="D398" s="22">
        <v>45889</v>
      </c>
      <c r="E398" s="9">
        <v>2</v>
      </c>
      <c r="F398" s="10" t="s">
        <v>48</v>
      </c>
      <c r="G398" s="9" t="s">
        <v>116</v>
      </c>
      <c r="H398" s="9">
        <v>183</v>
      </c>
      <c r="I398" s="9" t="s">
        <v>270</v>
      </c>
      <c r="J398" s="38">
        <f t="shared" si="62"/>
        <v>183</v>
      </c>
      <c r="K398" s="38">
        <f t="shared" si="63"/>
        <v>19.756666666666668</v>
      </c>
      <c r="L398" s="38">
        <f t="shared" si="64"/>
        <v>163.24333333333334</v>
      </c>
      <c r="M398" s="38">
        <v>163.51</v>
      </c>
      <c r="N398" s="38">
        <f t="shared" si="65"/>
        <v>19.756666666666668</v>
      </c>
      <c r="O398" s="38">
        <f t="shared" si="66"/>
        <v>143.75333333333333</v>
      </c>
      <c r="P398" s="38"/>
      <c r="Q398" s="38"/>
      <c r="R398" s="38">
        <f t="shared" si="67"/>
        <v>13.557946482400416</v>
      </c>
      <c r="S398" s="9"/>
    </row>
    <row r="399" spans="1:19" x14ac:dyDescent="0.25">
      <c r="A399" s="5" t="s">
        <v>25</v>
      </c>
      <c r="B399" s="9" t="s">
        <v>30</v>
      </c>
      <c r="C399" s="9" t="s">
        <v>393</v>
      </c>
      <c r="D399" s="22">
        <v>45889</v>
      </c>
      <c r="E399" s="9">
        <v>2</v>
      </c>
      <c r="F399" s="10" t="s">
        <v>49</v>
      </c>
      <c r="G399" s="9" t="s">
        <v>116</v>
      </c>
      <c r="H399" s="9">
        <v>146</v>
      </c>
      <c r="I399" s="9" t="s">
        <v>271</v>
      </c>
      <c r="J399" s="38">
        <f t="shared" si="62"/>
        <v>146</v>
      </c>
      <c r="K399" s="38">
        <f t="shared" si="63"/>
        <v>19.756666666666668</v>
      </c>
      <c r="L399" s="38">
        <f t="shared" si="64"/>
        <v>126.24333333333334</v>
      </c>
      <c r="M399" s="38">
        <v>126.81</v>
      </c>
      <c r="N399" s="38">
        <f t="shared" si="65"/>
        <v>19.756666666666668</v>
      </c>
      <c r="O399" s="38">
        <f t="shared" si="66"/>
        <v>107.05333333333334</v>
      </c>
      <c r="P399" s="38"/>
      <c r="Q399" s="38"/>
      <c r="R399" s="38">
        <f t="shared" si="67"/>
        <v>17.925644538547761</v>
      </c>
      <c r="S399" s="9"/>
    </row>
    <row r="400" spans="1:19" ht="30" x14ac:dyDescent="0.25">
      <c r="A400" s="5" t="s">
        <v>25</v>
      </c>
      <c r="B400" s="9" t="s">
        <v>30</v>
      </c>
      <c r="C400" s="9" t="s">
        <v>394</v>
      </c>
      <c r="D400" s="22">
        <v>45889</v>
      </c>
      <c r="E400" s="9">
        <v>2</v>
      </c>
      <c r="F400" s="10" t="s">
        <v>50</v>
      </c>
      <c r="G400" s="9" t="s">
        <v>116</v>
      </c>
      <c r="H400" s="9">
        <v>131</v>
      </c>
      <c r="I400" s="9" t="s">
        <v>272</v>
      </c>
      <c r="J400" s="38">
        <f t="shared" si="62"/>
        <v>131</v>
      </c>
      <c r="K400" s="38">
        <f t="shared" si="63"/>
        <v>19.756666666666668</v>
      </c>
      <c r="L400" s="38">
        <f t="shared" si="64"/>
        <v>111.24333333333334</v>
      </c>
      <c r="M400" s="38">
        <v>124.48</v>
      </c>
      <c r="N400" s="38">
        <f t="shared" si="65"/>
        <v>19.756666666666668</v>
      </c>
      <c r="O400" s="38">
        <f t="shared" si="66"/>
        <v>104.72333333333333</v>
      </c>
      <c r="P400" s="38"/>
      <c r="Q400" s="38"/>
      <c r="R400" s="38">
        <f t="shared" si="67"/>
        <v>6.2259286373619478</v>
      </c>
      <c r="S400" s="9"/>
    </row>
    <row r="401" spans="1:19" x14ac:dyDescent="0.25">
      <c r="A401" s="5" t="s">
        <v>25</v>
      </c>
      <c r="B401" s="9" t="s">
        <v>30</v>
      </c>
      <c r="C401" s="9" t="s">
        <v>395</v>
      </c>
      <c r="D401" s="22">
        <v>45889</v>
      </c>
      <c r="E401" s="9">
        <v>2</v>
      </c>
      <c r="F401" s="10" t="s">
        <v>51</v>
      </c>
      <c r="G401" s="9" t="s">
        <v>116</v>
      </c>
      <c r="H401" s="9">
        <v>124</v>
      </c>
      <c r="I401" s="9" t="s">
        <v>273</v>
      </c>
      <c r="J401" s="38">
        <f t="shared" si="62"/>
        <v>124</v>
      </c>
      <c r="K401" s="38">
        <f t="shared" si="63"/>
        <v>19.756666666666668</v>
      </c>
      <c r="L401" s="38">
        <f t="shared" si="64"/>
        <v>104.24333333333334</v>
      </c>
      <c r="M401" s="38">
        <v>118.56</v>
      </c>
      <c r="N401" s="38">
        <f t="shared" si="65"/>
        <v>19.756666666666668</v>
      </c>
      <c r="O401" s="38">
        <f t="shared" si="66"/>
        <v>98.803333333333342</v>
      </c>
      <c r="P401" s="38"/>
      <c r="Q401" s="38"/>
      <c r="R401" s="38">
        <f t="shared" si="67"/>
        <v>5.5058871158193012</v>
      </c>
      <c r="S401" s="9"/>
    </row>
    <row r="402" spans="1:19" x14ac:dyDescent="0.25">
      <c r="A402" s="5" t="s">
        <v>25</v>
      </c>
      <c r="B402" s="9" t="s">
        <v>30</v>
      </c>
      <c r="C402" s="9" t="s">
        <v>396</v>
      </c>
      <c r="D402" s="22">
        <v>45889</v>
      </c>
      <c r="E402" s="9">
        <v>2</v>
      </c>
      <c r="F402" s="10" t="s">
        <v>52</v>
      </c>
      <c r="G402" s="9" t="s">
        <v>85</v>
      </c>
      <c r="H402" s="9">
        <v>109</v>
      </c>
      <c r="I402" s="9" t="s">
        <v>274</v>
      </c>
      <c r="J402" s="38">
        <f t="shared" si="62"/>
        <v>109</v>
      </c>
      <c r="K402" s="38">
        <f t="shared" si="63"/>
        <v>19.756666666666668</v>
      </c>
      <c r="L402" s="38">
        <f t="shared" si="64"/>
        <v>89.243333333333339</v>
      </c>
      <c r="M402" s="38">
        <v>105.45</v>
      </c>
      <c r="N402" s="38">
        <f t="shared" si="65"/>
        <v>19.756666666666668</v>
      </c>
      <c r="O402" s="38">
        <f t="shared" si="66"/>
        <v>85.693333333333328</v>
      </c>
      <c r="P402" s="38"/>
      <c r="Q402" s="38"/>
      <c r="R402" s="38">
        <f t="shared" si="67"/>
        <v>4.1426793216119631</v>
      </c>
      <c r="S402" s="9"/>
    </row>
    <row r="403" spans="1:19" ht="30" x14ac:dyDescent="0.25">
      <c r="A403" s="5" t="s">
        <v>25</v>
      </c>
      <c r="B403" s="9" t="s">
        <v>30</v>
      </c>
      <c r="C403" s="9" t="s">
        <v>397</v>
      </c>
      <c r="D403" s="22">
        <v>45889</v>
      </c>
      <c r="E403" s="9">
        <v>2</v>
      </c>
      <c r="F403" s="10" t="s">
        <v>53</v>
      </c>
      <c r="G403" s="9" t="s">
        <v>85</v>
      </c>
      <c r="H403" s="9">
        <v>96</v>
      </c>
      <c r="I403" s="9" t="s">
        <v>275</v>
      </c>
      <c r="J403" s="38">
        <f t="shared" si="62"/>
        <v>96</v>
      </c>
      <c r="K403" s="38">
        <f t="shared" si="63"/>
        <v>19.756666666666668</v>
      </c>
      <c r="L403" s="38">
        <f t="shared" si="64"/>
        <v>76.243333333333339</v>
      </c>
      <c r="M403" s="38">
        <v>91.95</v>
      </c>
      <c r="N403" s="38">
        <f t="shared" si="65"/>
        <v>19.756666666666668</v>
      </c>
      <c r="O403" s="38">
        <f t="shared" si="66"/>
        <v>72.193333333333328</v>
      </c>
      <c r="P403" s="38"/>
      <c r="Q403" s="38"/>
      <c r="R403" s="38">
        <f t="shared" si="67"/>
        <v>5.6099362822052061</v>
      </c>
      <c r="S403" s="9"/>
    </row>
    <row r="404" spans="1:19" x14ac:dyDescent="0.25">
      <c r="A404" s="5" t="s">
        <v>25</v>
      </c>
      <c r="B404" s="9" t="s">
        <v>30</v>
      </c>
      <c r="C404" s="9" t="s">
        <v>398</v>
      </c>
      <c r="D404" s="22">
        <v>45889</v>
      </c>
      <c r="E404" s="9">
        <v>2</v>
      </c>
      <c r="F404" s="10" t="s">
        <v>54</v>
      </c>
      <c r="G404" s="9" t="s">
        <v>85</v>
      </c>
      <c r="H404" s="9">
        <v>59</v>
      </c>
      <c r="I404" s="9" t="s">
        <v>276</v>
      </c>
      <c r="J404" s="38">
        <f t="shared" si="62"/>
        <v>59</v>
      </c>
      <c r="K404" s="38">
        <f t="shared" si="63"/>
        <v>19.756666666666668</v>
      </c>
      <c r="L404" s="38">
        <f t="shared" si="64"/>
        <v>39.243333333333332</v>
      </c>
      <c r="M404" s="38">
        <v>56.8</v>
      </c>
      <c r="N404" s="38">
        <f t="shared" si="65"/>
        <v>19.756666666666668</v>
      </c>
      <c r="O404" s="38">
        <f t="shared" si="66"/>
        <v>37.043333333333329</v>
      </c>
      <c r="P404" s="38"/>
      <c r="Q404" s="38"/>
      <c r="R404" s="38">
        <f t="shared" si="67"/>
        <v>5.9389903716368302</v>
      </c>
      <c r="S404" s="9"/>
    </row>
    <row r="405" spans="1:19" x14ac:dyDescent="0.25">
      <c r="A405" s="5" t="s">
        <v>25</v>
      </c>
      <c r="B405" s="9" t="s">
        <v>30</v>
      </c>
      <c r="C405" s="9" t="s">
        <v>399</v>
      </c>
      <c r="D405" s="22">
        <v>45889</v>
      </c>
      <c r="E405" s="9">
        <v>2</v>
      </c>
      <c r="F405" s="10" t="s">
        <v>55</v>
      </c>
      <c r="G405" s="9" t="s">
        <v>85</v>
      </c>
      <c r="H405" s="9">
        <v>80</v>
      </c>
      <c r="I405" s="9" t="s">
        <v>277</v>
      </c>
      <c r="J405" s="38">
        <f t="shared" si="62"/>
        <v>80</v>
      </c>
      <c r="K405" s="38">
        <f t="shared" si="63"/>
        <v>19.756666666666668</v>
      </c>
      <c r="L405" s="38">
        <f t="shared" si="64"/>
        <v>60.243333333333332</v>
      </c>
      <c r="M405" s="38">
        <v>77.47</v>
      </c>
      <c r="N405" s="38">
        <f t="shared" si="65"/>
        <v>19.756666666666668</v>
      </c>
      <c r="O405" s="38">
        <f t="shared" si="66"/>
        <v>57.713333333333331</v>
      </c>
      <c r="P405" s="38"/>
      <c r="Q405" s="38"/>
      <c r="R405" s="38">
        <f t="shared" si="67"/>
        <v>4.3837357052096593</v>
      </c>
      <c r="S405" s="9"/>
    </row>
    <row r="406" spans="1:19" x14ac:dyDescent="0.25">
      <c r="A406" s="5" t="s">
        <v>25</v>
      </c>
      <c r="B406" s="9" t="s">
        <v>30</v>
      </c>
      <c r="C406" s="9" t="s">
        <v>400</v>
      </c>
      <c r="D406" s="22">
        <v>45889</v>
      </c>
      <c r="E406" s="9">
        <v>2</v>
      </c>
      <c r="F406" s="10" t="s">
        <v>56</v>
      </c>
      <c r="G406" s="9" t="s">
        <v>85</v>
      </c>
      <c r="H406" s="9">
        <v>113</v>
      </c>
      <c r="I406" s="9" t="s">
        <v>277</v>
      </c>
      <c r="J406" s="38">
        <f t="shared" si="62"/>
        <v>113</v>
      </c>
      <c r="K406" s="38">
        <f t="shared" si="63"/>
        <v>19.756666666666668</v>
      </c>
      <c r="L406" s="38">
        <f t="shared" si="64"/>
        <v>93.243333333333339</v>
      </c>
      <c r="M406" s="38">
        <v>110.12</v>
      </c>
      <c r="N406" s="38">
        <f t="shared" si="65"/>
        <v>19.756666666666668</v>
      </c>
      <c r="O406" s="38">
        <f t="shared" si="66"/>
        <v>90.363333333333344</v>
      </c>
      <c r="P406" s="38"/>
      <c r="Q406" s="38"/>
      <c r="R406" s="38">
        <f t="shared" si="67"/>
        <v>3.1871334243240201</v>
      </c>
      <c r="S406" s="9"/>
    </row>
    <row r="407" spans="1:19" x14ac:dyDescent="0.25">
      <c r="A407" s="5" t="s">
        <v>25</v>
      </c>
      <c r="B407" s="9" t="s">
        <v>30</v>
      </c>
      <c r="C407" s="9" t="s">
        <v>32</v>
      </c>
      <c r="D407" s="22">
        <v>45889</v>
      </c>
      <c r="E407" s="9">
        <v>2</v>
      </c>
      <c r="F407" s="10" t="s">
        <v>57</v>
      </c>
      <c r="G407" s="9" t="s">
        <v>85</v>
      </c>
      <c r="H407" s="9">
        <v>101</v>
      </c>
      <c r="I407" s="9" t="s">
        <v>277</v>
      </c>
      <c r="J407" s="38">
        <f t="shared" si="62"/>
        <v>101</v>
      </c>
      <c r="K407" s="38">
        <f t="shared" si="63"/>
        <v>19.756666666666668</v>
      </c>
      <c r="L407" s="38">
        <f t="shared" si="64"/>
        <v>81.243333333333339</v>
      </c>
      <c r="M407" s="38">
        <v>97.98</v>
      </c>
      <c r="N407" s="38">
        <f t="shared" si="65"/>
        <v>19.756666666666668</v>
      </c>
      <c r="O407" s="38">
        <f t="shared" si="66"/>
        <v>78.223333333333329</v>
      </c>
      <c r="P407" s="38"/>
      <c r="Q407" s="38"/>
      <c r="R407" s="38">
        <f t="shared" si="67"/>
        <v>3.860740614479921</v>
      </c>
      <c r="S407" s="9"/>
    </row>
    <row r="408" spans="1:19" x14ac:dyDescent="0.25">
      <c r="A408" s="5" t="s">
        <v>25</v>
      </c>
      <c r="B408" s="9" t="s">
        <v>30</v>
      </c>
      <c r="C408" s="9" t="s">
        <v>33</v>
      </c>
      <c r="D408" s="22">
        <v>45889</v>
      </c>
      <c r="E408" s="9">
        <v>1</v>
      </c>
      <c r="F408" s="10" t="s">
        <v>58</v>
      </c>
      <c r="G408" s="9" t="s">
        <v>85</v>
      </c>
      <c r="H408" s="9">
        <v>93</v>
      </c>
      <c r="I408" s="9" t="s">
        <v>278</v>
      </c>
      <c r="J408" s="38">
        <f t="shared" si="62"/>
        <v>93</v>
      </c>
      <c r="K408" s="38">
        <f t="shared" si="63"/>
        <v>19.756666666666668</v>
      </c>
      <c r="L408" s="38">
        <f t="shared" si="64"/>
        <v>73.243333333333339</v>
      </c>
      <c r="M408" s="38">
        <v>91.34</v>
      </c>
      <c r="N408" s="38">
        <f t="shared" si="65"/>
        <v>19.756666666666668</v>
      </c>
      <c r="O408" s="38">
        <f t="shared" si="66"/>
        <v>71.583333333333343</v>
      </c>
      <c r="P408" s="38"/>
      <c r="Q408" s="38"/>
      <c r="R408" s="38">
        <f t="shared" si="67"/>
        <v>2.3189755529685629</v>
      </c>
      <c r="S408" s="9"/>
    </row>
    <row r="409" spans="1:19" x14ac:dyDescent="0.25">
      <c r="A409" s="5" t="s">
        <v>25</v>
      </c>
      <c r="B409" s="9" t="s">
        <v>30</v>
      </c>
      <c r="C409" s="9" t="s">
        <v>34</v>
      </c>
      <c r="D409" s="22">
        <v>45889</v>
      </c>
      <c r="E409" s="9">
        <v>1</v>
      </c>
      <c r="F409" s="10" t="s">
        <v>59</v>
      </c>
      <c r="G409" s="9" t="s">
        <v>85</v>
      </c>
      <c r="H409" s="9">
        <v>44</v>
      </c>
      <c r="I409" s="9" t="s">
        <v>279</v>
      </c>
      <c r="J409" s="38">
        <f t="shared" si="62"/>
        <v>44</v>
      </c>
      <c r="K409" s="38">
        <f t="shared" si="63"/>
        <v>19.756666666666668</v>
      </c>
      <c r="L409" s="38">
        <f t="shared" si="64"/>
        <v>24.243333333333332</v>
      </c>
      <c r="M409" s="38">
        <v>42.3</v>
      </c>
      <c r="N409" s="38">
        <f t="shared" si="65"/>
        <v>19.756666666666668</v>
      </c>
      <c r="O409" s="38">
        <f t="shared" si="66"/>
        <v>22.543333333333329</v>
      </c>
      <c r="P409" s="38"/>
      <c r="Q409" s="38"/>
      <c r="R409" s="38">
        <f t="shared" si="67"/>
        <v>7.5410320863522244</v>
      </c>
      <c r="S409" s="9"/>
    </row>
    <row r="410" spans="1:19" x14ac:dyDescent="0.25">
      <c r="A410" s="5" t="s">
        <v>25</v>
      </c>
      <c r="B410" s="9" t="s">
        <v>30</v>
      </c>
      <c r="C410" s="9" t="s">
        <v>35</v>
      </c>
      <c r="D410" s="22">
        <v>45889</v>
      </c>
      <c r="E410" s="9">
        <v>1</v>
      </c>
      <c r="F410" s="10" t="s">
        <v>60</v>
      </c>
      <c r="G410" s="9" t="s">
        <v>85</v>
      </c>
      <c r="H410" s="9">
        <v>49</v>
      </c>
      <c r="I410" s="9" t="s">
        <v>279</v>
      </c>
      <c r="J410" s="38">
        <f t="shared" ref="J410:J440" si="68">H410</f>
        <v>49</v>
      </c>
      <c r="K410" s="38">
        <f t="shared" ref="K410:K440" si="69">AVERAGE(19.9,19.77,19.6)</f>
        <v>19.756666666666668</v>
      </c>
      <c r="L410" s="38">
        <f t="shared" ref="L410:L440" si="70">J410-K410</f>
        <v>29.243333333333332</v>
      </c>
      <c r="M410" s="38">
        <v>47.16</v>
      </c>
      <c r="N410" s="38">
        <f t="shared" ref="N410:N440" si="71">AVERAGE(19.9,19.77,19.6)</f>
        <v>19.756666666666668</v>
      </c>
      <c r="O410" s="38">
        <f t="shared" ref="O410:O440" si="72">M410-N410</f>
        <v>27.403333333333329</v>
      </c>
      <c r="P410" s="38"/>
      <c r="Q410" s="38"/>
      <c r="R410" s="38">
        <f t="shared" si="67"/>
        <v>6.7145116165916692</v>
      </c>
      <c r="S410" s="9"/>
    </row>
    <row r="411" spans="1:19" x14ac:dyDescent="0.25">
      <c r="A411" s="5" t="s">
        <v>25</v>
      </c>
      <c r="B411" s="9" t="s">
        <v>30</v>
      </c>
      <c r="C411" s="9" t="s">
        <v>36</v>
      </c>
      <c r="D411" s="22">
        <v>45889</v>
      </c>
      <c r="E411" s="9">
        <v>1</v>
      </c>
      <c r="F411" s="10" t="s">
        <v>61</v>
      </c>
      <c r="G411" s="9" t="s">
        <v>85</v>
      </c>
      <c r="H411" s="9">
        <v>47</v>
      </c>
      <c r="I411" s="9" t="s">
        <v>279</v>
      </c>
      <c r="J411" s="38">
        <f t="shared" si="68"/>
        <v>47</v>
      </c>
      <c r="K411" s="38">
        <f t="shared" si="69"/>
        <v>19.756666666666668</v>
      </c>
      <c r="L411" s="38">
        <f t="shared" si="70"/>
        <v>27.243333333333332</v>
      </c>
      <c r="M411" s="38">
        <v>43.56</v>
      </c>
      <c r="N411" s="38">
        <f t="shared" si="71"/>
        <v>19.756666666666668</v>
      </c>
      <c r="O411" s="38">
        <f t="shared" si="72"/>
        <v>23.803333333333335</v>
      </c>
      <c r="P411" s="38"/>
      <c r="Q411" s="38"/>
      <c r="R411" s="38">
        <f t="shared" si="67"/>
        <v>14.451757456938793</v>
      </c>
      <c r="S411" s="9"/>
    </row>
    <row r="412" spans="1:19" x14ac:dyDescent="0.25">
      <c r="A412" s="5" t="s">
        <v>25</v>
      </c>
      <c r="B412" s="9" t="s">
        <v>30</v>
      </c>
      <c r="C412" s="9" t="s">
        <v>37</v>
      </c>
      <c r="D412" s="22">
        <v>45889</v>
      </c>
      <c r="E412" s="9">
        <v>1</v>
      </c>
      <c r="F412" s="10" t="s">
        <v>62</v>
      </c>
      <c r="G412" s="9" t="s">
        <v>74</v>
      </c>
      <c r="H412" s="9">
        <v>60</v>
      </c>
      <c r="I412" s="9" t="s">
        <v>280</v>
      </c>
      <c r="J412" s="38">
        <f t="shared" si="68"/>
        <v>60</v>
      </c>
      <c r="K412" s="38">
        <f t="shared" si="69"/>
        <v>19.756666666666668</v>
      </c>
      <c r="L412" s="38">
        <f t="shared" si="70"/>
        <v>40.243333333333332</v>
      </c>
      <c r="M412" s="38">
        <v>56.91</v>
      </c>
      <c r="N412" s="38">
        <f t="shared" si="71"/>
        <v>19.756666666666668</v>
      </c>
      <c r="O412" s="38">
        <f t="shared" si="72"/>
        <v>37.153333333333329</v>
      </c>
      <c r="P412" s="38"/>
      <c r="Q412" s="38"/>
      <c r="R412" s="38">
        <f t="shared" si="67"/>
        <v>8.3168849811591699</v>
      </c>
      <c r="S412" s="9"/>
    </row>
    <row r="413" spans="1:19" x14ac:dyDescent="0.25">
      <c r="A413" s="5" t="s">
        <v>25</v>
      </c>
      <c r="B413" s="9" t="s">
        <v>30</v>
      </c>
      <c r="C413" s="9" t="s">
        <v>38</v>
      </c>
      <c r="D413" s="22">
        <v>45889</v>
      </c>
      <c r="E413" s="9">
        <v>1</v>
      </c>
      <c r="F413" s="10" t="s">
        <v>63</v>
      </c>
      <c r="G413" s="9" t="s">
        <v>74</v>
      </c>
      <c r="H413" s="9">
        <v>49</v>
      </c>
      <c r="I413" s="9" t="s">
        <v>281</v>
      </c>
      <c r="J413" s="38">
        <f t="shared" si="68"/>
        <v>49</v>
      </c>
      <c r="K413" s="38">
        <f t="shared" si="69"/>
        <v>19.756666666666668</v>
      </c>
      <c r="L413" s="38">
        <f t="shared" si="70"/>
        <v>29.243333333333332</v>
      </c>
      <c r="M413" s="38">
        <v>44.98</v>
      </c>
      <c r="N413" s="38">
        <f t="shared" si="71"/>
        <v>19.756666666666668</v>
      </c>
      <c r="O413" s="38">
        <f t="shared" si="72"/>
        <v>25.223333333333329</v>
      </c>
      <c r="P413" s="38"/>
      <c r="Q413" s="38"/>
      <c r="R413" s="38">
        <f t="shared" si="67"/>
        <v>15.937623893220579</v>
      </c>
      <c r="S413" s="9"/>
    </row>
    <row r="414" spans="1:19" x14ac:dyDescent="0.25">
      <c r="A414" s="5" t="s">
        <v>25</v>
      </c>
      <c r="B414" s="9" t="s">
        <v>30</v>
      </c>
      <c r="C414" s="9" t="s">
        <v>39</v>
      </c>
      <c r="D414" s="22">
        <v>45889</v>
      </c>
      <c r="E414" s="9">
        <v>1</v>
      </c>
      <c r="F414" s="10" t="s">
        <v>64</v>
      </c>
      <c r="G414" s="9" t="s">
        <v>74</v>
      </c>
      <c r="H414" s="9">
        <v>46</v>
      </c>
      <c r="I414" s="9" t="s">
        <v>281</v>
      </c>
      <c r="J414" s="38">
        <f t="shared" si="68"/>
        <v>46</v>
      </c>
      <c r="K414" s="38">
        <f t="shared" si="69"/>
        <v>19.756666666666668</v>
      </c>
      <c r="L414" s="38">
        <f t="shared" si="70"/>
        <v>26.243333333333332</v>
      </c>
      <c r="M414" s="38">
        <v>42.38</v>
      </c>
      <c r="N414" s="38">
        <f t="shared" si="71"/>
        <v>19.756666666666668</v>
      </c>
      <c r="O414" s="38">
        <f t="shared" si="72"/>
        <v>22.623333333333335</v>
      </c>
      <c r="P414" s="38"/>
      <c r="Q414" s="38"/>
      <c r="R414" s="38">
        <f t="shared" si="67"/>
        <v>16.001178724031224</v>
      </c>
      <c r="S414" s="9"/>
    </row>
    <row r="415" spans="1:19" x14ac:dyDescent="0.25">
      <c r="A415" s="5" t="s">
        <v>25</v>
      </c>
      <c r="B415" s="9" t="s">
        <v>30</v>
      </c>
      <c r="C415" s="9" t="s">
        <v>40</v>
      </c>
      <c r="D415" s="22">
        <v>45889</v>
      </c>
      <c r="E415" s="9">
        <v>1</v>
      </c>
      <c r="F415" s="10" t="s">
        <v>65</v>
      </c>
      <c r="G415" s="9" t="s">
        <v>74</v>
      </c>
      <c r="H415" s="9">
        <v>50</v>
      </c>
      <c r="I415" s="9" t="s">
        <v>281</v>
      </c>
      <c r="J415" s="38">
        <f t="shared" si="68"/>
        <v>50</v>
      </c>
      <c r="K415" s="38">
        <f t="shared" si="69"/>
        <v>19.756666666666668</v>
      </c>
      <c r="L415" s="38">
        <f t="shared" si="70"/>
        <v>30.243333333333332</v>
      </c>
      <c r="M415" s="38">
        <v>46.64</v>
      </c>
      <c r="N415" s="38">
        <f t="shared" si="71"/>
        <v>19.756666666666668</v>
      </c>
      <c r="O415" s="38">
        <f t="shared" si="72"/>
        <v>26.883333333333333</v>
      </c>
      <c r="P415" s="38"/>
      <c r="Q415" s="38"/>
      <c r="R415" s="38">
        <f t="shared" si="67"/>
        <v>12.498450092994419</v>
      </c>
      <c r="S415" s="9"/>
    </row>
    <row r="416" spans="1:19" x14ac:dyDescent="0.25">
      <c r="A416" s="5" t="s">
        <v>25</v>
      </c>
      <c r="B416" s="9" t="s">
        <v>30</v>
      </c>
      <c r="C416" s="9" t="s">
        <v>41</v>
      </c>
      <c r="D416" s="22">
        <v>45889</v>
      </c>
      <c r="E416" s="9">
        <v>1</v>
      </c>
      <c r="F416" s="10" t="s">
        <v>66</v>
      </c>
      <c r="G416" s="9" t="s">
        <v>74</v>
      </c>
      <c r="H416" s="9">
        <v>38</v>
      </c>
      <c r="I416" s="9" t="s">
        <v>281</v>
      </c>
      <c r="J416" s="38">
        <f t="shared" si="68"/>
        <v>38</v>
      </c>
      <c r="K416" s="38">
        <f t="shared" si="69"/>
        <v>19.756666666666668</v>
      </c>
      <c r="L416" s="38">
        <f t="shared" si="70"/>
        <v>18.243333333333332</v>
      </c>
      <c r="M416" s="38">
        <v>35.61</v>
      </c>
      <c r="N416" s="38">
        <f t="shared" si="71"/>
        <v>19.756666666666668</v>
      </c>
      <c r="O416" s="38">
        <f t="shared" si="72"/>
        <v>15.853333333333332</v>
      </c>
      <c r="P416" s="38"/>
      <c r="Q416" s="38"/>
      <c r="R416" s="38">
        <f t="shared" si="67"/>
        <v>15.075693860386885</v>
      </c>
      <c r="S416" s="9"/>
    </row>
    <row r="417" spans="1:19" x14ac:dyDescent="0.25">
      <c r="A417" s="5" t="s">
        <v>25</v>
      </c>
      <c r="B417" s="9" t="s">
        <v>30</v>
      </c>
      <c r="C417" s="9" t="s">
        <v>42</v>
      </c>
      <c r="D417" s="22">
        <v>45889</v>
      </c>
      <c r="E417" s="9">
        <v>1</v>
      </c>
      <c r="F417" s="10" t="s">
        <v>67</v>
      </c>
      <c r="G417" s="9" t="s">
        <v>74</v>
      </c>
      <c r="H417" s="9">
        <v>45</v>
      </c>
      <c r="I417" s="9" t="s">
        <v>281</v>
      </c>
      <c r="J417" s="38">
        <f t="shared" si="68"/>
        <v>45</v>
      </c>
      <c r="K417" s="38">
        <f t="shared" si="69"/>
        <v>19.756666666666668</v>
      </c>
      <c r="L417" s="38">
        <f t="shared" si="70"/>
        <v>25.243333333333332</v>
      </c>
      <c r="M417" s="38">
        <v>40.25</v>
      </c>
      <c r="N417" s="38">
        <f t="shared" si="71"/>
        <v>19.756666666666668</v>
      </c>
      <c r="O417" s="38">
        <f t="shared" si="72"/>
        <v>20.493333333333332</v>
      </c>
      <c r="P417" s="38"/>
      <c r="Q417" s="38"/>
      <c r="R417" s="38">
        <f t="shared" si="67"/>
        <v>23.178269355888094</v>
      </c>
      <c r="S417" s="9"/>
    </row>
    <row r="418" spans="1:19" s="35" customFormat="1" ht="15.75" thickBot="1" x14ac:dyDescent="0.3">
      <c r="A418" s="19" t="s">
        <v>25</v>
      </c>
      <c r="B418" s="11" t="s">
        <v>30</v>
      </c>
      <c r="C418" s="11" t="s">
        <v>43</v>
      </c>
      <c r="D418" s="23">
        <v>45889</v>
      </c>
      <c r="E418" s="36"/>
      <c r="F418" s="14" t="s">
        <v>68</v>
      </c>
      <c r="G418" s="11" t="s">
        <v>74</v>
      </c>
      <c r="H418" s="11">
        <v>84</v>
      </c>
      <c r="I418" s="11" t="s">
        <v>377</v>
      </c>
      <c r="J418" s="41">
        <f t="shared" si="68"/>
        <v>84</v>
      </c>
      <c r="K418" s="41">
        <f t="shared" si="69"/>
        <v>19.756666666666668</v>
      </c>
      <c r="L418" s="41">
        <f t="shared" si="70"/>
        <v>64.243333333333339</v>
      </c>
      <c r="M418" s="41">
        <v>75.03</v>
      </c>
      <c r="N418" s="41">
        <f t="shared" si="71"/>
        <v>19.756666666666668</v>
      </c>
      <c r="O418" s="41">
        <f t="shared" si="72"/>
        <v>55.273333333333333</v>
      </c>
      <c r="P418" s="41">
        <v>3.5</v>
      </c>
      <c r="Q418" s="41"/>
      <c r="R418" s="41">
        <f t="shared" si="67"/>
        <v>16.228440477626354</v>
      </c>
      <c r="S418" s="11" t="s">
        <v>382</v>
      </c>
    </row>
    <row r="419" spans="1:19" ht="30" x14ac:dyDescent="0.25">
      <c r="A419" s="20" t="s">
        <v>25</v>
      </c>
      <c r="B419" s="12" t="s">
        <v>27</v>
      </c>
      <c r="C419" s="12" t="s">
        <v>392</v>
      </c>
      <c r="D419" s="24">
        <v>45889</v>
      </c>
      <c r="E419" s="12">
        <v>2</v>
      </c>
      <c r="F419" s="13" t="s">
        <v>48</v>
      </c>
      <c r="G419" s="12" t="s">
        <v>71</v>
      </c>
      <c r="H419" s="12">
        <v>217</v>
      </c>
      <c r="I419" s="12" t="s">
        <v>224</v>
      </c>
      <c r="J419" s="40">
        <f t="shared" si="68"/>
        <v>217</v>
      </c>
      <c r="K419" s="40">
        <f t="shared" si="69"/>
        <v>19.756666666666668</v>
      </c>
      <c r="L419" s="40">
        <f t="shared" si="70"/>
        <v>197.24333333333334</v>
      </c>
      <c r="M419" s="40">
        <v>209.07</v>
      </c>
      <c r="N419" s="40">
        <f t="shared" si="71"/>
        <v>19.756666666666668</v>
      </c>
      <c r="O419" s="40">
        <f t="shared" si="72"/>
        <v>189.31333333333333</v>
      </c>
      <c r="P419" s="40"/>
      <c r="Q419" s="40"/>
      <c r="R419" s="40">
        <f t="shared" si="67"/>
        <v>4.1888227629679227</v>
      </c>
      <c r="S419" s="12"/>
    </row>
    <row r="420" spans="1:19" ht="30" x14ac:dyDescent="0.25">
      <c r="A420" s="5" t="s">
        <v>25</v>
      </c>
      <c r="B420" s="9" t="s">
        <v>27</v>
      </c>
      <c r="C420" s="9" t="s">
        <v>393</v>
      </c>
      <c r="D420" s="22">
        <v>45889</v>
      </c>
      <c r="E420" s="9">
        <v>2</v>
      </c>
      <c r="F420" s="10" t="s">
        <v>49</v>
      </c>
      <c r="G420" s="9" t="s">
        <v>71</v>
      </c>
      <c r="H420" s="9">
        <v>146</v>
      </c>
      <c r="I420" s="9" t="s">
        <v>225</v>
      </c>
      <c r="J420" s="38">
        <f t="shared" si="68"/>
        <v>146</v>
      </c>
      <c r="K420" s="38">
        <f t="shared" si="69"/>
        <v>19.756666666666668</v>
      </c>
      <c r="L420" s="38">
        <f t="shared" si="70"/>
        <v>126.24333333333334</v>
      </c>
      <c r="M420" s="38">
        <v>140.97</v>
      </c>
      <c r="N420" s="38">
        <f t="shared" si="71"/>
        <v>19.756666666666668</v>
      </c>
      <c r="O420" s="38">
        <f t="shared" si="72"/>
        <v>121.21333333333334</v>
      </c>
      <c r="P420" s="38"/>
      <c r="Q420" s="38"/>
      <c r="R420" s="38">
        <f t="shared" si="67"/>
        <v>4.1497085029149714</v>
      </c>
      <c r="S420" s="12"/>
    </row>
    <row r="421" spans="1:19" ht="30" x14ac:dyDescent="0.25">
      <c r="A421" s="5" t="s">
        <v>25</v>
      </c>
      <c r="B421" s="9" t="s">
        <v>27</v>
      </c>
      <c r="C421" s="9" t="s">
        <v>394</v>
      </c>
      <c r="D421" s="22">
        <v>45889</v>
      </c>
      <c r="E421" s="9">
        <v>2</v>
      </c>
      <c r="F421" s="10" t="s">
        <v>50</v>
      </c>
      <c r="G421" s="9" t="s">
        <v>71</v>
      </c>
      <c r="H421" s="9">
        <v>134</v>
      </c>
      <c r="I421" s="9" t="s">
        <v>225</v>
      </c>
      <c r="J421" s="38">
        <f t="shared" si="68"/>
        <v>134</v>
      </c>
      <c r="K421" s="38">
        <f t="shared" si="69"/>
        <v>19.756666666666668</v>
      </c>
      <c r="L421" s="38">
        <f t="shared" si="70"/>
        <v>114.24333333333334</v>
      </c>
      <c r="M421" s="38">
        <v>128.9</v>
      </c>
      <c r="N421" s="38">
        <f t="shared" si="71"/>
        <v>19.756666666666668</v>
      </c>
      <c r="O421" s="38">
        <f t="shared" si="72"/>
        <v>109.14333333333335</v>
      </c>
      <c r="P421" s="38"/>
      <c r="Q421" s="38"/>
      <c r="R421" s="38">
        <f t="shared" si="67"/>
        <v>4.6727544818739828</v>
      </c>
      <c r="S421" s="9"/>
    </row>
    <row r="422" spans="1:19" ht="30" x14ac:dyDescent="0.25">
      <c r="A422" s="5" t="s">
        <v>25</v>
      </c>
      <c r="B422" s="9" t="s">
        <v>27</v>
      </c>
      <c r="C422" s="9" t="s">
        <v>395</v>
      </c>
      <c r="D422" s="22">
        <v>45889</v>
      </c>
      <c r="E422" s="9">
        <v>2</v>
      </c>
      <c r="F422" s="10" t="s">
        <v>51</v>
      </c>
      <c r="G422" s="9" t="s">
        <v>85</v>
      </c>
      <c r="H422" s="9">
        <v>126</v>
      </c>
      <c r="I422" s="9" t="s">
        <v>225</v>
      </c>
      <c r="J422" s="38">
        <f t="shared" si="68"/>
        <v>126</v>
      </c>
      <c r="K422" s="38">
        <f t="shared" si="69"/>
        <v>19.756666666666668</v>
      </c>
      <c r="L422" s="38">
        <f t="shared" si="70"/>
        <v>106.24333333333334</v>
      </c>
      <c r="M422" s="38">
        <v>121.29</v>
      </c>
      <c r="N422" s="38">
        <f t="shared" si="71"/>
        <v>19.756666666666668</v>
      </c>
      <c r="O422" s="38">
        <f t="shared" si="72"/>
        <v>101.53333333333333</v>
      </c>
      <c r="P422" s="38"/>
      <c r="Q422" s="38"/>
      <c r="R422" s="38">
        <f t="shared" si="67"/>
        <v>4.638870650032838</v>
      </c>
      <c r="S422" s="9"/>
    </row>
    <row r="423" spans="1:19" ht="30" x14ac:dyDescent="0.25">
      <c r="A423" s="5" t="s">
        <v>25</v>
      </c>
      <c r="B423" s="9" t="s">
        <v>27</v>
      </c>
      <c r="C423" s="9" t="s">
        <v>396</v>
      </c>
      <c r="D423" s="22">
        <v>45889</v>
      </c>
      <c r="E423" s="9">
        <v>2</v>
      </c>
      <c r="F423" s="10" t="s">
        <v>52</v>
      </c>
      <c r="G423" s="9" t="s">
        <v>85</v>
      </c>
      <c r="H423" s="9">
        <v>124</v>
      </c>
      <c r="I423" s="9" t="s">
        <v>225</v>
      </c>
      <c r="J423" s="38">
        <f t="shared" si="68"/>
        <v>124</v>
      </c>
      <c r="K423" s="38">
        <f t="shared" si="69"/>
        <v>19.756666666666668</v>
      </c>
      <c r="L423" s="38">
        <f t="shared" si="70"/>
        <v>104.24333333333334</v>
      </c>
      <c r="M423" s="38">
        <v>117.86</v>
      </c>
      <c r="N423" s="38">
        <f t="shared" si="71"/>
        <v>19.756666666666668</v>
      </c>
      <c r="O423" s="38">
        <f t="shared" si="72"/>
        <v>98.103333333333325</v>
      </c>
      <c r="P423" s="38"/>
      <c r="Q423" s="38"/>
      <c r="R423" s="38">
        <f t="shared" si="67"/>
        <v>6.258706805749056</v>
      </c>
      <c r="S423" s="9"/>
    </row>
    <row r="424" spans="1:19" x14ac:dyDescent="0.25">
      <c r="A424" s="5" t="s">
        <v>25</v>
      </c>
      <c r="B424" s="9" t="s">
        <v>27</v>
      </c>
      <c r="C424" s="9" t="s">
        <v>397</v>
      </c>
      <c r="D424" s="22">
        <v>45889</v>
      </c>
      <c r="E424" s="9">
        <v>2</v>
      </c>
      <c r="F424" s="10" t="s">
        <v>53</v>
      </c>
      <c r="G424" s="9" t="s">
        <v>85</v>
      </c>
      <c r="H424" s="9">
        <v>115</v>
      </c>
      <c r="I424" s="9" t="s">
        <v>226</v>
      </c>
      <c r="J424" s="38">
        <f t="shared" si="68"/>
        <v>115</v>
      </c>
      <c r="K424" s="38">
        <f t="shared" si="69"/>
        <v>19.756666666666668</v>
      </c>
      <c r="L424" s="38">
        <f t="shared" si="70"/>
        <v>95.243333333333339</v>
      </c>
      <c r="M424" s="38">
        <v>109.47</v>
      </c>
      <c r="N424" s="38">
        <f t="shared" si="71"/>
        <v>19.756666666666668</v>
      </c>
      <c r="O424" s="38">
        <f t="shared" si="72"/>
        <v>89.713333333333338</v>
      </c>
      <c r="P424" s="38"/>
      <c r="Q424" s="38"/>
      <c r="R424" s="38">
        <f t="shared" si="67"/>
        <v>6.1640781749275479</v>
      </c>
      <c r="S424" s="9"/>
    </row>
    <row r="425" spans="1:19" x14ac:dyDescent="0.25">
      <c r="A425" s="5" t="s">
        <v>25</v>
      </c>
      <c r="B425" s="9" t="s">
        <v>27</v>
      </c>
      <c r="C425" s="9" t="s">
        <v>398</v>
      </c>
      <c r="D425" s="22">
        <v>45889</v>
      </c>
      <c r="E425" s="9">
        <v>2</v>
      </c>
      <c r="F425" s="10" t="s">
        <v>54</v>
      </c>
      <c r="G425" s="9" t="s">
        <v>85</v>
      </c>
      <c r="H425" s="9">
        <v>123</v>
      </c>
      <c r="I425" s="9" t="s">
        <v>227</v>
      </c>
      <c r="J425" s="38">
        <f t="shared" si="68"/>
        <v>123</v>
      </c>
      <c r="K425" s="38">
        <f t="shared" si="69"/>
        <v>19.756666666666668</v>
      </c>
      <c r="L425" s="38">
        <f t="shared" si="70"/>
        <v>103.24333333333334</v>
      </c>
      <c r="M425" s="38">
        <v>117.58</v>
      </c>
      <c r="N425" s="38">
        <f t="shared" si="71"/>
        <v>19.756666666666668</v>
      </c>
      <c r="O425" s="38">
        <f t="shared" si="72"/>
        <v>97.823333333333323</v>
      </c>
      <c r="P425" s="38"/>
      <c r="Q425" s="38"/>
      <c r="R425" s="38">
        <f t="shared" si="67"/>
        <v>5.5406004020854089</v>
      </c>
      <c r="S425" s="9"/>
    </row>
    <row r="426" spans="1:19" x14ac:dyDescent="0.25">
      <c r="A426" s="5" t="s">
        <v>25</v>
      </c>
      <c r="B426" s="9" t="s">
        <v>27</v>
      </c>
      <c r="C426" s="9" t="s">
        <v>399</v>
      </c>
      <c r="D426" s="22">
        <v>45889</v>
      </c>
      <c r="E426" s="9">
        <v>2</v>
      </c>
      <c r="F426" s="10" t="s">
        <v>55</v>
      </c>
      <c r="G426" s="9" t="s">
        <v>85</v>
      </c>
      <c r="H426" s="9">
        <v>113</v>
      </c>
      <c r="I426" s="9" t="s">
        <v>228</v>
      </c>
      <c r="J426" s="38">
        <f t="shared" si="68"/>
        <v>113</v>
      </c>
      <c r="K426" s="38">
        <f t="shared" si="69"/>
        <v>19.756666666666668</v>
      </c>
      <c r="L426" s="38">
        <f t="shared" si="70"/>
        <v>93.243333333333339</v>
      </c>
      <c r="M426" s="38">
        <v>108.37</v>
      </c>
      <c r="N426" s="38">
        <f t="shared" si="71"/>
        <v>19.756666666666668</v>
      </c>
      <c r="O426" s="38">
        <f t="shared" si="72"/>
        <v>88.613333333333344</v>
      </c>
      <c r="P426" s="38"/>
      <c r="Q426" s="38"/>
      <c r="R426" s="38">
        <f t="shared" si="67"/>
        <v>5.2249473367438997</v>
      </c>
      <c r="S426" s="9"/>
    </row>
    <row r="427" spans="1:19" ht="30" x14ac:dyDescent="0.25">
      <c r="A427" s="5" t="s">
        <v>25</v>
      </c>
      <c r="B427" s="9" t="s">
        <v>27</v>
      </c>
      <c r="C427" s="9" t="s">
        <v>400</v>
      </c>
      <c r="D427" s="22">
        <v>45889</v>
      </c>
      <c r="E427" s="9">
        <v>2</v>
      </c>
      <c r="F427" s="10" t="s">
        <v>56</v>
      </c>
      <c r="G427" s="9" t="s">
        <v>116</v>
      </c>
      <c r="H427" s="9">
        <v>109</v>
      </c>
      <c r="I427" s="9" t="s">
        <v>229</v>
      </c>
      <c r="J427" s="38">
        <f t="shared" si="68"/>
        <v>109</v>
      </c>
      <c r="K427" s="38">
        <f t="shared" si="69"/>
        <v>19.756666666666668</v>
      </c>
      <c r="L427" s="38">
        <f t="shared" si="70"/>
        <v>89.243333333333339</v>
      </c>
      <c r="M427" s="38">
        <v>106.07</v>
      </c>
      <c r="N427" s="38">
        <f t="shared" si="71"/>
        <v>19.756666666666668</v>
      </c>
      <c r="O427" s="38">
        <f t="shared" si="72"/>
        <v>86.313333333333333</v>
      </c>
      <c r="P427" s="38"/>
      <c r="Q427" s="38"/>
      <c r="R427" s="38">
        <f t="shared" si="67"/>
        <v>3.3946087896810155</v>
      </c>
      <c r="S427" s="9"/>
    </row>
    <row r="428" spans="1:19" ht="30" x14ac:dyDescent="0.25">
      <c r="A428" s="5" t="s">
        <v>25</v>
      </c>
      <c r="B428" s="9" t="s">
        <v>27</v>
      </c>
      <c r="C428" s="9" t="s">
        <v>32</v>
      </c>
      <c r="D428" s="22">
        <v>45889</v>
      </c>
      <c r="E428" s="9">
        <v>2</v>
      </c>
      <c r="F428" s="10" t="s">
        <v>57</v>
      </c>
      <c r="G428" s="9" t="s">
        <v>116</v>
      </c>
      <c r="H428" s="9">
        <v>86</v>
      </c>
      <c r="I428" s="9" t="s">
        <v>229</v>
      </c>
      <c r="J428" s="38">
        <f t="shared" si="68"/>
        <v>86</v>
      </c>
      <c r="K428" s="38">
        <f t="shared" si="69"/>
        <v>19.756666666666668</v>
      </c>
      <c r="L428" s="38">
        <f t="shared" si="70"/>
        <v>66.243333333333339</v>
      </c>
      <c r="M428" s="38">
        <v>82.47</v>
      </c>
      <c r="N428" s="38">
        <f t="shared" si="71"/>
        <v>19.756666666666668</v>
      </c>
      <c r="O428" s="38">
        <f t="shared" si="72"/>
        <v>62.713333333333331</v>
      </c>
      <c r="P428" s="38"/>
      <c r="Q428" s="38"/>
      <c r="R428" s="38">
        <f t="shared" si="67"/>
        <v>5.6287870734559506</v>
      </c>
      <c r="S428" s="9"/>
    </row>
    <row r="429" spans="1:19" ht="30" x14ac:dyDescent="0.25">
      <c r="A429" s="5" t="s">
        <v>25</v>
      </c>
      <c r="B429" s="9" t="s">
        <v>27</v>
      </c>
      <c r="C429" s="9" t="s">
        <v>33</v>
      </c>
      <c r="D429" s="22">
        <v>45889</v>
      </c>
      <c r="E429" s="9">
        <v>1</v>
      </c>
      <c r="F429" s="10" t="s">
        <v>58</v>
      </c>
      <c r="G429" s="9" t="s">
        <v>74</v>
      </c>
      <c r="H429" s="9">
        <v>30</v>
      </c>
      <c r="I429" s="9" t="s">
        <v>230</v>
      </c>
      <c r="J429" s="38">
        <f t="shared" si="68"/>
        <v>30</v>
      </c>
      <c r="K429" s="38">
        <f t="shared" si="69"/>
        <v>19.756666666666668</v>
      </c>
      <c r="L429" s="38">
        <f t="shared" si="70"/>
        <v>10.243333333333332</v>
      </c>
      <c r="M429" s="38">
        <v>28.79</v>
      </c>
      <c r="N429" s="38">
        <f t="shared" si="71"/>
        <v>19.756666666666668</v>
      </c>
      <c r="O429" s="38">
        <f t="shared" si="72"/>
        <v>9.0333333333333314</v>
      </c>
      <c r="P429" s="38"/>
      <c r="Q429" s="38"/>
      <c r="R429" s="38">
        <f t="shared" ref="R429:R440" si="73">((L429-O429)/O429)*100</f>
        <v>13.394833948339496</v>
      </c>
      <c r="S429" s="9"/>
    </row>
    <row r="430" spans="1:19" x14ac:dyDescent="0.25">
      <c r="A430" s="5" t="s">
        <v>25</v>
      </c>
      <c r="B430" s="9" t="s">
        <v>27</v>
      </c>
      <c r="C430" s="9" t="s">
        <v>34</v>
      </c>
      <c r="D430" s="22">
        <v>45889</v>
      </c>
      <c r="E430" s="9">
        <v>1</v>
      </c>
      <c r="F430" s="10" t="s">
        <v>59</v>
      </c>
      <c r="G430" s="9" t="s">
        <v>85</v>
      </c>
      <c r="H430" s="9">
        <v>25</v>
      </c>
      <c r="I430" s="9" t="s">
        <v>231</v>
      </c>
      <c r="J430" s="38">
        <f t="shared" si="68"/>
        <v>25</v>
      </c>
      <c r="K430" s="38">
        <f t="shared" si="69"/>
        <v>19.756666666666668</v>
      </c>
      <c r="L430" s="38">
        <f t="shared" si="70"/>
        <v>5.2433333333333323</v>
      </c>
      <c r="M430" s="38">
        <v>24.41</v>
      </c>
      <c r="N430" s="38">
        <f t="shared" si="71"/>
        <v>19.756666666666668</v>
      </c>
      <c r="O430" s="38">
        <f t="shared" si="72"/>
        <v>4.6533333333333324</v>
      </c>
      <c r="P430" s="38"/>
      <c r="Q430" s="38"/>
      <c r="R430" s="38">
        <f t="shared" si="73"/>
        <v>12.679083094555873</v>
      </c>
      <c r="S430" s="9"/>
    </row>
    <row r="431" spans="1:19" ht="30" x14ac:dyDescent="0.25">
      <c r="A431" s="5" t="s">
        <v>25</v>
      </c>
      <c r="B431" s="9" t="s">
        <v>27</v>
      </c>
      <c r="C431" s="9" t="s">
        <v>35</v>
      </c>
      <c r="D431" s="22">
        <v>45889</v>
      </c>
      <c r="E431" s="9">
        <v>1</v>
      </c>
      <c r="F431" s="10" t="s">
        <v>60</v>
      </c>
      <c r="G431" s="9" t="s">
        <v>85</v>
      </c>
      <c r="H431" s="9">
        <v>31</v>
      </c>
      <c r="I431" s="9" t="s">
        <v>232</v>
      </c>
      <c r="J431" s="38">
        <f t="shared" si="68"/>
        <v>31</v>
      </c>
      <c r="K431" s="38">
        <f t="shared" si="69"/>
        <v>19.756666666666668</v>
      </c>
      <c r="L431" s="38">
        <f t="shared" si="70"/>
        <v>11.243333333333332</v>
      </c>
      <c r="M431" s="38">
        <v>30.2</v>
      </c>
      <c r="N431" s="38">
        <f t="shared" si="71"/>
        <v>19.756666666666668</v>
      </c>
      <c r="O431" s="38">
        <f t="shared" si="72"/>
        <v>10.443333333333332</v>
      </c>
      <c r="P431" s="38"/>
      <c r="Q431" s="38"/>
      <c r="R431" s="38">
        <f t="shared" si="73"/>
        <v>7.6603894031279998</v>
      </c>
      <c r="S431" s="9"/>
    </row>
    <row r="432" spans="1:19" x14ac:dyDescent="0.25">
      <c r="A432" s="5" t="s">
        <v>25</v>
      </c>
      <c r="B432" s="9" t="s">
        <v>27</v>
      </c>
      <c r="C432" s="9" t="s">
        <v>36</v>
      </c>
      <c r="D432" s="22">
        <v>45889</v>
      </c>
      <c r="E432" s="9">
        <v>1</v>
      </c>
      <c r="F432" s="10" t="s">
        <v>61</v>
      </c>
      <c r="G432" s="9" t="s">
        <v>85</v>
      </c>
      <c r="H432" s="9">
        <v>27</v>
      </c>
      <c r="I432" s="9" t="s">
        <v>233</v>
      </c>
      <c r="J432" s="38">
        <f t="shared" si="68"/>
        <v>27</v>
      </c>
      <c r="K432" s="38">
        <f t="shared" si="69"/>
        <v>19.756666666666668</v>
      </c>
      <c r="L432" s="38">
        <f t="shared" si="70"/>
        <v>7.2433333333333323</v>
      </c>
      <c r="M432" s="38">
        <v>26.3</v>
      </c>
      <c r="N432" s="38">
        <f t="shared" si="71"/>
        <v>19.756666666666668</v>
      </c>
      <c r="O432" s="38">
        <f t="shared" si="72"/>
        <v>6.543333333333333</v>
      </c>
      <c r="P432" s="38"/>
      <c r="Q432" s="38"/>
      <c r="R432" s="38">
        <f t="shared" si="73"/>
        <v>10.697911360163005</v>
      </c>
      <c r="S432" s="9"/>
    </row>
    <row r="433" spans="1:19" x14ac:dyDescent="0.25">
      <c r="A433" s="5" t="s">
        <v>25</v>
      </c>
      <c r="B433" s="9" t="s">
        <v>27</v>
      </c>
      <c r="C433" s="9" t="s">
        <v>37</v>
      </c>
      <c r="D433" s="22">
        <v>45889</v>
      </c>
      <c r="E433" s="9">
        <v>1</v>
      </c>
      <c r="F433" s="10" t="s">
        <v>62</v>
      </c>
      <c r="G433" s="9" t="s">
        <v>85</v>
      </c>
      <c r="H433" s="9">
        <v>33</v>
      </c>
      <c r="I433" s="9" t="s">
        <v>234</v>
      </c>
      <c r="J433" s="38">
        <f t="shared" si="68"/>
        <v>33</v>
      </c>
      <c r="K433" s="38">
        <f t="shared" si="69"/>
        <v>19.756666666666668</v>
      </c>
      <c r="L433" s="38">
        <f t="shared" si="70"/>
        <v>13.243333333333332</v>
      </c>
      <c r="M433" s="38">
        <v>31.82</v>
      </c>
      <c r="N433" s="38">
        <f t="shared" si="71"/>
        <v>19.756666666666668</v>
      </c>
      <c r="O433" s="38">
        <f t="shared" si="72"/>
        <v>12.063333333333333</v>
      </c>
      <c r="P433" s="38"/>
      <c r="Q433" s="38"/>
      <c r="R433" s="38">
        <f t="shared" si="73"/>
        <v>9.781707654048077</v>
      </c>
      <c r="S433" s="9"/>
    </row>
    <row r="434" spans="1:19" x14ac:dyDescent="0.25">
      <c r="A434" s="5" t="s">
        <v>25</v>
      </c>
      <c r="B434" s="9" t="s">
        <v>27</v>
      </c>
      <c r="C434" s="9" t="s">
        <v>38</v>
      </c>
      <c r="D434" s="22">
        <v>45889</v>
      </c>
      <c r="E434" s="9">
        <v>1</v>
      </c>
      <c r="F434" s="10" t="s">
        <v>63</v>
      </c>
      <c r="G434" s="9" t="s">
        <v>74</v>
      </c>
      <c r="H434" s="9">
        <v>41</v>
      </c>
      <c r="I434" s="9" t="s">
        <v>235</v>
      </c>
      <c r="J434" s="38">
        <f t="shared" si="68"/>
        <v>41</v>
      </c>
      <c r="K434" s="38">
        <f t="shared" si="69"/>
        <v>19.756666666666668</v>
      </c>
      <c r="L434" s="38">
        <f t="shared" si="70"/>
        <v>21.243333333333332</v>
      </c>
      <c r="M434" s="38">
        <v>39.56</v>
      </c>
      <c r="N434" s="38">
        <f t="shared" si="71"/>
        <v>19.756666666666668</v>
      </c>
      <c r="O434" s="38">
        <f t="shared" si="72"/>
        <v>19.803333333333335</v>
      </c>
      <c r="P434" s="38"/>
      <c r="Q434" s="38"/>
      <c r="R434" s="38">
        <f t="shared" si="73"/>
        <v>7.2715031139538686</v>
      </c>
      <c r="S434" s="9"/>
    </row>
    <row r="435" spans="1:19" x14ac:dyDescent="0.25">
      <c r="A435" s="5" t="s">
        <v>25</v>
      </c>
      <c r="B435" s="9" t="s">
        <v>27</v>
      </c>
      <c r="C435" s="9" t="s">
        <v>39</v>
      </c>
      <c r="D435" s="22">
        <v>45889</v>
      </c>
      <c r="E435" s="9">
        <v>1</v>
      </c>
      <c r="F435" s="10" t="s">
        <v>64</v>
      </c>
      <c r="G435" s="9" t="s">
        <v>71</v>
      </c>
      <c r="H435" s="9">
        <v>55</v>
      </c>
      <c r="I435" s="9" t="s">
        <v>236</v>
      </c>
      <c r="J435" s="38">
        <f t="shared" si="68"/>
        <v>55</v>
      </c>
      <c r="K435" s="38">
        <f t="shared" si="69"/>
        <v>19.756666666666668</v>
      </c>
      <c r="L435" s="38">
        <f t="shared" si="70"/>
        <v>35.243333333333332</v>
      </c>
      <c r="M435" s="38">
        <v>51.4</v>
      </c>
      <c r="N435" s="38">
        <f t="shared" si="71"/>
        <v>19.756666666666668</v>
      </c>
      <c r="O435" s="38">
        <f t="shared" si="72"/>
        <v>31.643333333333331</v>
      </c>
      <c r="P435" s="38"/>
      <c r="Q435" s="38"/>
      <c r="R435" s="38">
        <f t="shared" si="73"/>
        <v>11.376803960813236</v>
      </c>
      <c r="S435" s="9"/>
    </row>
    <row r="436" spans="1:19" x14ac:dyDescent="0.25">
      <c r="A436" s="5" t="s">
        <v>25</v>
      </c>
      <c r="B436" s="9" t="s">
        <v>27</v>
      </c>
      <c r="C436" s="9" t="s">
        <v>40</v>
      </c>
      <c r="D436" s="22">
        <v>45889</v>
      </c>
      <c r="E436" s="9">
        <v>1</v>
      </c>
      <c r="F436" s="10" t="s">
        <v>65</v>
      </c>
      <c r="G436" s="9" t="s">
        <v>74</v>
      </c>
      <c r="H436" s="9">
        <v>49</v>
      </c>
      <c r="I436" s="9" t="s">
        <v>237</v>
      </c>
      <c r="J436" s="38">
        <f t="shared" si="68"/>
        <v>49</v>
      </c>
      <c r="K436" s="38">
        <f t="shared" si="69"/>
        <v>19.756666666666668</v>
      </c>
      <c r="L436" s="38">
        <f t="shared" si="70"/>
        <v>29.243333333333332</v>
      </c>
      <c r="M436" s="38">
        <v>45.72</v>
      </c>
      <c r="N436" s="38">
        <f t="shared" si="71"/>
        <v>19.756666666666668</v>
      </c>
      <c r="O436" s="38">
        <f t="shared" si="72"/>
        <v>25.963333333333331</v>
      </c>
      <c r="P436" s="38"/>
      <c r="Q436" s="38"/>
      <c r="R436" s="38">
        <f t="shared" si="73"/>
        <v>12.633200667608172</v>
      </c>
      <c r="S436" s="9"/>
    </row>
    <row r="437" spans="1:19" x14ac:dyDescent="0.25">
      <c r="A437" s="5" t="s">
        <v>25</v>
      </c>
      <c r="B437" s="9" t="s">
        <v>27</v>
      </c>
      <c r="C437" s="9" t="s">
        <v>41</v>
      </c>
      <c r="D437" s="22">
        <v>45889</v>
      </c>
      <c r="E437" s="9">
        <v>1</v>
      </c>
      <c r="F437" s="10" t="s">
        <v>66</v>
      </c>
      <c r="G437" s="9" t="s">
        <v>71</v>
      </c>
      <c r="H437" s="9">
        <v>60</v>
      </c>
      <c r="I437" s="9" t="s">
        <v>238</v>
      </c>
      <c r="J437" s="38">
        <f t="shared" si="68"/>
        <v>60</v>
      </c>
      <c r="K437" s="38">
        <f t="shared" si="69"/>
        <v>19.756666666666668</v>
      </c>
      <c r="L437" s="38">
        <f t="shared" si="70"/>
        <v>40.243333333333332</v>
      </c>
      <c r="M437" s="38">
        <v>58.17</v>
      </c>
      <c r="N437" s="38">
        <f t="shared" si="71"/>
        <v>19.756666666666668</v>
      </c>
      <c r="O437" s="38">
        <f t="shared" si="72"/>
        <v>38.413333333333334</v>
      </c>
      <c r="P437" s="38"/>
      <c r="Q437" s="38"/>
      <c r="R437" s="38">
        <f t="shared" si="73"/>
        <v>4.7639708434571286</v>
      </c>
      <c r="S437" s="9"/>
    </row>
    <row r="438" spans="1:19" x14ac:dyDescent="0.25">
      <c r="A438" s="5" t="s">
        <v>25</v>
      </c>
      <c r="B438" s="9" t="s">
        <v>27</v>
      </c>
      <c r="C438" s="9" t="s">
        <v>42</v>
      </c>
      <c r="D438" s="22">
        <v>45889</v>
      </c>
      <c r="E438" s="9">
        <v>1</v>
      </c>
      <c r="F438" s="10" t="s">
        <v>67</v>
      </c>
      <c r="G438" s="9" t="s">
        <v>71</v>
      </c>
      <c r="H438" s="9">
        <v>50</v>
      </c>
      <c r="I438" s="9" t="s">
        <v>239</v>
      </c>
      <c r="J438" s="38">
        <f t="shared" si="68"/>
        <v>50</v>
      </c>
      <c r="K438" s="38">
        <f t="shared" si="69"/>
        <v>19.756666666666668</v>
      </c>
      <c r="L438" s="38">
        <f t="shared" si="70"/>
        <v>30.243333333333332</v>
      </c>
      <c r="M438" s="38">
        <v>48.87</v>
      </c>
      <c r="N438" s="38">
        <f t="shared" si="71"/>
        <v>19.756666666666668</v>
      </c>
      <c r="O438" s="38">
        <f t="shared" si="72"/>
        <v>29.11333333333333</v>
      </c>
      <c r="P438" s="38"/>
      <c r="Q438" s="38"/>
      <c r="R438" s="38">
        <f t="shared" si="73"/>
        <v>3.8813831005266861</v>
      </c>
      <c r="S438" s="9"/>
    </row>
    <row r="439" spans="1:19" x14ac:dyDescent="0.25">
      <c r="A439" s="5" t="s">
        <v>25</v>
      </c>
      <c r="B439" s="9" t="s">
        <v>27</v>
      </c>
      <c r="C439" s="9" t="s">
        <v>44</v>
      </c>
      <c r="D439" s="22">
        <v>45889</v>
      </c>
      <c r="E439" s="37"/>
      <c r="F439" s="10" t="s">
        <v>68</v>
      </c>
      <c r="G439" s="9" t="s">
        <v>71</v>
      </c>
      <c r="H439" s="9">
        <v>171</v>
      </c>
      <c r="I439" s="9" t="s">
        <v>240</v>
      </c>
      <c r="J439" s="38">
        <f t="shared" si="68"/>
        <v>171</v>
      </c>
      <c r="K439" s="38">
        <f t="shared" si="69"/>
        <v>19.756666666666668</v>
      </c>
      <c r="L439" s="38">
        <f t="shared" si="70"/>
        <v>151.24333333333334</v>
      </c>
      <c r="M439" s="38">
        <v>165.57</v>
      </c>
      <c r="N439" s="38">
        <f t="shared" si="71"/>
        <v>19.756666666666668</v>
      </c>
      <c r="O439" s="38">
        <f t="shared" si="72"/>
        <v>145.81333333333333</v>
      </c>
      <c r="P439" s="38">
        <v>4</v>
      </c>
      <c r="Q439" s="38"/>
      <c r="R439" s="38">
        <f t="shared" si="73"/>
        <v>3.7239392831016871</v>
      </c>
      <c r="S439" s="9" t="s">
        <v>384</v>
      </c>
    </row>
    <row r="440" spans="1:19" x14ac:dyDescent="0.25">
      <c r="A440" s="5" t="s">
        <v>25</v>
      </c>
      <c r="B440" s="9" t="s">
        <v>27</v>
      </c>
      <c r="C440" s="9" t="s">
        <v>45</v>
      </c>
      <c r="D440" s="22">
        <v>45889</v>
      </c>
      <c r="E440" s="37"/>
      <c r="F440" s="10" t="s">
        <v>68</v>
      </c>
      <c r="G440" s="9" t="s">
        <v>71</v>
      </c>
      <c r="H440" s="9">
        <v>133</v>
      </c>
      <c r="I440" s="9" t="s">
        <v>240</v>
      </c>
      <c r="J440" s="38">
        <f t="shared" si="68"/>
        <v>133</v>
      </c>
      <c r="K440" s="38">
        <f t="shared" si="69"/>
        <v>19.756666666666668</v>
      </c>
      <c r="L440" s="38">
        <f t="shared" si="70"/>
        <v>113.24333333333334</v>
      </c>
      <c r="M440" s="38">
        <v>128.59</v>
      </c>
      <c r="N440" s="38">
        <f t="shared" si="71"/>
        <v>19.756666666666668</v>
      </c>
      <c r="O440" s="38">
        <f t="shared" si="72"/>
        <v>108.83333333333334</v>
      </c>
      <c r="P440" s="38" t="s">
        <v>374</v>
      </c>
      <c r="Q440" s="38"/>
      <c r="R440" s="38">
        <f t="shared" si="73"/>
        <v>4.052067381316995</v>
      </c>
      <c r="S440" s="9" t="s">
        <v>384</v>
      </c>
    </row>
  </sheetData>
  <autoFilter ref="A14:S440" xr:uid="{655FDDE6-BC28-4EFB-BFA9-02C797D11755}">
    <filterColumn colId="0">
      <filters>
        <filter val="DIA"/>
        <filter val="SOM"/>
        <filter val="TEX"/>
      </filters>
    </filterColumn>
  </autoFilter>
  <sortState xmlns:xlrd2="http://schemas.microsoft.com/office/spreadsheetml/2017/richdata2" ref="A15:S440">
    <sortCondition ref="A15:A440"/>
    <sortCondition ref="B15:B440"/>
    <sortCondition ref="C15:C440"/>
  </sortState>
  <mergeCells count="3">
    <mergeCell ref="J13:L13"/>
    <mergeCell ref="E13:I13"/>
    <mergeCell ref="M13:P1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DFD95-7877-47FF-B631-BACB6E19A2D2}">
  <sheetPr filterMode="1">
    <tabColor theme="4" tint="0.79998168889431442"/>
  </sheetPr>
  <dimension ref="A1:Y427"/>
  <sheetViews>
    <sheetView zoomScale="90" zoomScaleNormal="90" workbookViewId="0">
      <selection activeCell="A298" sqref="A298:XFD298"/>
    </sheetView>
  </sheetViews>
  <sheetFormatPr defaultColWidth="8.7109375" defaultRowHeight="15" x14ac:dyDescent="0.25"/>
  <cols>
    <col min="1" max="1" width="11.85546875" style="3" customWidth="1"/>
    <col min="2" max="2" width="13.42578125" style="3" customWidth="1"/>
    <col min="3" max="3" width="9.5703125" style="4" bestFit="1" customWidth="1"/>
    <col min="4" max="4" width="28.5703125" style="4" bestFit="1" customWidth="1"/>
    <col min="5" max="5" width="10.140625" style="3" customWidth="1"/>
    <col min="6" max="6" width="19.140625" style="3" customWidth="1"/>
    <col min="7" max="7" width="23.28515625" style="3" customWidth="1"/>
    <col min="8" max="8" width="26.5703125" style="4" customWidth="1"/>
    <col min="9" max="9" width="16.28515625" style="3" customWidth="1"/>
    <col min="10" max="10" width="39.28515625" style="3" customWidth="1"/>
    <col min="11" max="11" width="49" style="3" customWidth="1"/>
    <col min="12" max="12" width="34.5703125" style="3" customWidth="1"/>
    <col min="13" max="13" width="54.140625" style="3" customWidth="1"/>
    <col min="14" max="14" width="42" style="3" customWidth="1"/>
    <col min="15" max="15" width="29.7109375" style="3" customWidth="1"/>
    <col min="16" max="16" width="46.7109375" style="3" customWidth="1"/>
    <col min="17" max="17" width="22.140625" style="3" customWidth="1"/>
    <col min="18" max="18" width="63.85546875" style="3" customWidth="1"/>
    <col min="19" max="19" width="41.42578125" style="3" customWidth="1"/>
    <col min="20" max="20" width="65.140625" style="3" customWidth="1"/>
    <col min="21" max="21" width="55.28515625" style="3" customWidth="1"/>
    <col min="22" max="22" width="62.5703125" style="3" customWidth="1"/>
    <col min="23" max="24" width="54.7109375" style="3" customWidth="1"/>
    <col min="25" max="25" width="50.42578125" style="3" bestFit="1" customWidth="1"/>
    <col min="26" max="16384" width="8.7109375" style="3"/>
  </cols>
  <sheetData>
    <row r="1" spans="1:25" s="1" customFormat="1" ht="30" x14ac:dyDescent="0.25">
      <c r="A1" s="5" t="s">
        <v>661</v>
      </c>
      <c r="B1" s="5" t="s">
        <v>662</v>
      </c>
      <c r="C1" s="5" t="s">
        <v>663</v>
      </c>
      <c r="D1" s="5" t="s">
        <v>659</v>
      </c>
      <c r="E1" s="5" t="s">
        <v>664</v>
      </c>
      <c r="F1" s="17" t="s">
        <v>481</v>
      </c>
      <c r="G1" s="17" t="s">
        <v>482</v>
      </c>
      <c r="H1" s="25" t="s">
        <v>682</v>
      </c>
      <c r="I1" s="17" t="s">
        <v>483</v>
      </c>
      <c r="J1" s="17" t="s">
        <v>484</v>
      </c>
      <c r="K1" s="6" t="s">
        <v>485</v>
      </c>
      <c r="L1" s="6" t="s">
        <v>486</v>
      </c>
      <c r="M1" s="6" t="s">
        <v>487</v>
      </c>
      <c r="N1" s="7" t="s">
        <v>488</v>
      </c>
      <c r="O1" s="7" t="s">
        <v>683</v>
      </c>
      <c r="P1" s="7" t="s">
        <v>684</v>
      </c>
      <c r="Q1" s="7" t="s">
        <v>489</v>
      </c>
      <c r="R1" s="7" t="s">
        <v>654</v>
      </c>
      <c r="S1" s="7" t="s">
        <v>651</v>
      </c>
      <c r="T1" s="7" t="s">
        <v>653</v>
      </c>
      <c r="U1" s="7" t="s">
        <v>652</v>
      </c>
      <c r="V1" s="7" t="s">
        <v>656</v>
      </c>
      <c r="W1" s="7" t="s">
        <v>655</v>
      </c>
      <c r="X1" s="7" t="s">
        <v>657</v>
      </c>
      <c r="Y1" s="5" t="s">
        <v>490</v>
      </c>
    </row>
    <row r="2" spans="1:25" hidden="1" x14ac:dyDescent="0.25">
      <c r="A2" s="5" t="s">
        <v>24</v>
      </c>
      <c r="B2" s="9" t="s">
        <v>27</v>
      </c>
      <c r="C2" s="9" t="s">
        <v>41</v>
      </c>
      <c r="D2" s="9" t="s">
        <v>568</v>
      </c>
      <c r="E2" s="22">
        <v>45888</v>
      </c>
      <c r="F2" s="9">
        <v>1</v>
      </c>
      <c r="G2" s="10" t="s">
        <v>66</v>
      </c>
      <c r="H2" s="9" t="s">
        <v>74</v>
      </c>
      <c r="I2" s="9">
        <v>63</v>
      </c>
      <c r="J2" s="9" t="s">
        <v>169</v>
      </c>
      <c r="K2" s="38">
        <f t="shared" ref="K2:K48" si="0">I2</f>
        <v>63</v>
      </c>
      <c r="L2" s="38">
        <f t="shared" ref="L2:L48" si="1">AVERAGE(19.9,19.77,19.6)</f>
        <v>19.756666666666668</v>
      </c>
      <c r="M2" s="38">
        <f t="shared" ref="M2:M48" si="2">K2-L2</f>
        <v>43.243333333333332</v>
      </c>
      <c r="N2" s="53">
        <v>62.44</v>
      </c>
      <c r="O2" s="38">
        <f t="shared" ref="O2:O48" si="3">AVERAGE(19.9,19.77,19.6)</f>
        <v>19.756666666666668</v>
      </c>
      <c r="P2" s="38">
        <f t="shared" ref="P2:P48" si="4">N2-O2</f>
        <v>42.68333333333333</v>
      </c>
      <c r="Q2" s="38"/>
      <c r="R2" s="38"/>
      <c r="S2" s="38"/>
      <c r="T2" s="38"/>
      <c r="U2" s="38"/>
      <c r="V2" s="38"/>
      <c r="W2" s="38"/>
      <c r="X2" s="38"/>
      <c r="Y2" s="9"/>
    </row>
    <row r="3" spans="1:25" hidden="1" x14ac:dyDescent="0.25">
      <c r="A3" s="5" t="s">
        <v>24</v>
      </c>
      <c r="B3" s="9" t="s">
        <v>28</v>
      </c>
      <c r="C3" s="9" t="s">
        <v>41</v>
      </c>
      <c r="D3" s="9" t="s">
        <v>552</v>
      </c>
      <c r="E3" s="22">
        <v>45889</v>
      </c>
      <c r="F3" s="9">
        <v>1</v>
      </c>
      <c r="G3" s="10" t="s">
        <v>66</v>
      </c>
      <c r="H3" s="9" t="s">
        <v>71</v>
      </c>
      <c r="I3" s="9">
        <v>51</v>
      </c>
      <c r="J3" s="9" t="s">
        <v>185</v>
      </c>
      <c r="K3" s="38">
        <f t="shared" si="0"/>
        <v>51</v>
      </c>
      <c r="L3" s="38">
        <f t="shared" si="1"/>
        <v>19.756666666666668</v>
      </c>
      <c r="M3" s="38">
        <f t="shared" si="2"/>
        <v>31.243333333333332</v>
      </c>
      <c r="N3" s="53">
        <v>48.64</v>
      </c>
      <c r="O3" s="38">
        <f t="shared" si="3"/>
        <v>19.756666666666668</v>
      </c>
      <c r="P3" s="38">
        <f t="shared" si="4"/>
        <v>28.883333333333333</v>
      </c>
      <c r="Q3" s="38"/>
      <c r="R3" s="38"/>
      <c r="S3" s="38"/>
      <c r="T3" s="38"/>
      <c r="U3" s="38"/>
      <c r="V3" s="38"/>
      <c r="W3" s="38"/>
      <c r="X3" s="38"/>
      <c r="Y3" s="9"/>
    </row>
    <row r="4" spans="1:25" hidden="1" x14ac:dyDescent="0.25">
      <c r="A4" s="5" t="s">
        <v>24</v>
      </c>
      <c r="B4" s="9" t="s">
        <v>29</v>
      </c>
      <c r="C4" s="9" t="s">
        <v>41</v>
      </c>
      <c r="D4" s="9" t="s">
        <v>536</v>
      </c>
      <c r="E4" s="22">
        <v>45888</v>
      </c>
      <c r="F4" s="9">
        <v>1</v>
      </c>
      <c r="G4" s="10" t="s">
        <v>66</v>
      </c>
      <c r="H4" s="9" t="s">
        <v>74</v>
      </c>
      <c r="I4" s="9">
        <v>36</v>
      </c>
      <c r="J4" s="9" t="s">
        <v>196</v>
      </c>
      <c r="K4" s="38">
        <f t="shared" si="0"/>
        <v>36</v>
      </c>
      <c r="L4" s="38">
        <f t="shared" si="1"/>
        <v>19.756666666666668</v>
      </c>
      <c r="M4" s="38">
        <f t="shared" si="2"/>
        <v>16.243333333333332</v>
      </c>
      <c r="N4" s="53">
        <v>32.81</v>
      </c>
      <c r="O4" s="38">
        <f t="shared" si="3"/>
        <v>19.756666666666668</v>
      </c>
      <c r="P4" s="38">
        <f t="shared" si="4"/>
        <v>13.053333333333335</v>
      </c>
      <c r="Q4" s="38"/>
      <c r="R4" s="38"/>
      <c r="S4" s="38"/>
      <c r="T4" s="38"/>
      <c r="U4" s="38"/>
      <c r="V4" s="38"/>
      <c r="W4" s="38"/>
      <c r="X4" s="38"/>
      <c r="Y4" s="9"/>
    </row>
    <row r="5" spans="1:25" hidden="1" x14ac:dyDescent="0.25">
      <c r="A5" s="5" t="s">
        <v>24</v>
      </c>
      <c r="B5" s="9" t="s">
        <v>30</v>
      </c>
      <c r="C5" s="9" t="s">
        <v>41</v>
      </c>
      <c r="D5" s="9" t="s">
        <v>520</v>
      </c>
      <c r="E5" s="22">
        <v>45889</v>
      </c>
      <c r="F5" s="9">
        <v>1</v>
      </c>
      <c r="G5" s="10" t="s">
        <v>66</v>
      </c>
      <c r="H5" s="9" t="s">
        <v>74</v>
      </c>
      <c r="I5" s="9">
        <v>58</v>
      </c>
      <c r="J5" s="9" t="s">
        <v>214</v>
      </c>
      <c r="K5" s="38">
        <f t="shared" si="0"/>
        <v>58</v>
      </c>
      <c r="L5" s="38">
        <f t="shared" si="1"/>
        <v>19.756666666666668</v>
      </c>
      <c r="M5" s="38">
        <f t="shared" si="2"/>
        <v>38.243333333333332</v>
      </c>
      <c r="N5" s="53">
        <v>52.63</v>
      </c>
      <c r="O5" s="38">
        <f t="shared" si="3"/>
        <v>19.756666666666668</v>
      </c>
      <c r="P5" s="38">
        <f t="shared" si="4"/>
        <v>32.873333333333335</v>
      </c>
      <c r="Q5" s="38"/>
      <c r="R5" s="38"/>
      <c r="S5" s="38"/>
      <c r="T5" s="38"/>
      <c r="U5" s="38"/>
      <c r="V5" s="38"/>
      <c r="W5" s="38"/>
      <c r="X5" s="38"/>
      <c r="Y5" s="9"/>
    </row>
    <row r="6" spans="1:25" hidden="1" x14ac:dyDescent="0.25">
      <c r="A6" s="5" t="s">
        <v>24</v>
      </c>
      <c r="B6" s="9" t="s">
        <v>31</v>
      </c>
      <c r="C6" s="9" t="s">
        <v>41</v>
      </c>
      <c r="D6" s="9" t="s">
        <v>504</v>
      </c>
      <c r="E6" s="22">
        <v>45890</v>
      </c>
      <c r="F6" s="9">
        <v>1</v>
      </c>
      <c r="G6" s="10" t="s">
        <v>66</v>
      </c>
      <c r="H6" s="9" t="s">
        <v>85</v>
      </c>
      <c r="I6" s="9">
        <v>54</v>
      </c>
      <c r="J6" s="9" t="s">
        <v>222</v>
      </c>
      <c r="K6" s="38">
        <f t="shared" si="0"/>
        <v>54</v>
      </c>
      <c r="L6" s="38">
        <f t="shared" si="1"/>
        <v>19.756666666666668</v>
      </c>
      <c r="M6" s="38">
        <f t="shared" si="2"/>
        <v>34.243333333333332</v>
      </c>
      <c r="N6" s="53">
        <v>50.92</v>
      </c>
      <c r="O6" s="38">
        <f t="shared" si="3"/>
        <v>19.756666666666668</v>
      </c>
      <c r="P6" s="38">
        <f t="shared" si="4"/>
        <v>31.163333333333334</v>
      </c>
      <c r="Q6" s="38"/>
      <c r="R6" s="38"/>
      <c r="S6" s="38"/>
      <c r="T6" s="38"/>
      <c r="U6" s="38"/>
      <c r="V6" s="38"/>
      <c r="W6" s="38"/>
      <c r="X6" s="38"/>
      <c r="Y6" s="9"/>
    </row>
    <row r="7" spans="1:25" hidden="1" x14ac:dyDescent="0.25">
      <c r="A7" s="5" t="s">
        <v>24</v>
      </c>
      <c r="B7" s="9" t="s">
        <v>27</v>
      </c>
      <c r="C7" s="9" t="s">
        <v>40</v>
      </c>
      <c r="D7" s="9" t="s">
        <v>567</v>
      </c>
      <c r="E7" s="22">
        <v>45888</v>
      </c>
      <c r="F7" s="9">
        <v>1</v>
      </c>
      <c r="G7" s="10" t="s">
        <v>65</v>
      </c>
      <c r="H7" s="9" t="s">
        <v>74</v>
      </c>
      <c r="I7" s="9">
        <v>66</v>
      </c>
      <c r="J7" s="9" t="s">
        <v>168</v>
      </c>
      <c r="K7" s="38">
        <f t="shared" si="0"/>
        <v>66</v>
      </c>
      <c r="L7" s="38">
        <f t="shared" si="1"/>
        <v>19.756666666666668</v>
      </c>
      <c r="M7" s="38">
        <f t="shared" si="2"/>
        <v>46.243333333333332</v>
      </c>
      <c r="N7" s="53">
        <v>59.38</v>
      </c>
      <c r="O7" s="38">
        <f t="shared" si="3"/>
        <v>19.756666666666668</v>
      </c>
      <c r="P7" s="38">
        <f t="shared" si="4"/>
        <v>39.623333333333335</v>
      </c>
      <c r="Q7" s="38"/>
      <c r="R7" s="38"/>
      <c r="S7" s="38"/>
      <c r="T7" s="38"/>
      <c r="U7" s="38"/>
      <c r="V7" s="38"/>
      <c r="W7" s="38"/>
      <c r="X7" s="38"/>
      <c r="Y7" s="9"/>
    </row>
    <row r="8" spans="1:25" ht="30" hidden="1" x14ac:dyDescent="0.25">
      <c r="A8" s="5" t="s">
        <v>24</v>
      </c>
      <c r="B8" s="9" t="s">
        <v>28</v>
      </c>
      <c r="C8" s="9" t="s">
        <v>40</v>
      </c>
      <c r="D8" s="9" t="s">
        <v>551</v>
      </c>
      <c r="E8" s="22">
        <v>45889</v>
      </c>
      <c r="F8" s="9">
        <v>1</v>
      </c>
      <c r="G8" s="10" t="s">
        <v>65</v>
      </c>
      <c r="H8" s="9" t="s">
        <v>71</v>
      </c>
      <c r="I8" s="9">
        <v>70</v>
      </c>
      <c r="J8" s="9" t="s">
        <v>184</v>
      </c>
      <c r="K8" s="38">
        <f t="shared" si="0"/>
        <v>70</v>
      </c>
      <c r="L8" s="38">
        <f t="shared" si="1"/>
        <v>19.756666666666668</v>
      </c>
      <c r="M8" s="38">
        <f t="shared" si="2"/>
        <v>50.243333333333332</v>
      </c>
      <c r="N8" s="53">
        <v>67.069999999999993</v>
      </c>
      <c r="O8" s="38">
        <f t="shared" si="3"/>
        <v>19.756666666666668</v>
      </c>
      <c r="P8" s="38">
        <f t="shared" si="4"/>
        <v>47.313333333333325</v>
      </c>
      <c r="Q8" s="38"/>
      <c r="R8" s="38"/>
      <c r="S8" s="38"/>
      <c r="T8" s="38"/>
      <c r="U8" s="38"/>
      <c r="V8" s="38"/>
      <c r="W8" s="38"/>
      <c r="X8" s="38"/>
      <c r="Y8" s="9"/>
    </row>
    <row r="9" spans="1:25" hidden="1" x14ac:dyDescent="0.25">
      <c r="A9" s="5" t="s">
        <v>24</v>
      </c>
      <c r="B9" s="9" t="s">
        <v>29</v>
      </c>
      <c r="C9" s="9" t="s">
        <v>40</v>
      </c>
      <c r="D9" s="9" t="s">
        <v>535</v>
      </c>
      <c r="E9" s="22">
        <v>45888</v>
      </c>
      <c r="F9" s="9">
        <v>1</v>
      </c>
      <c r="G9" s="10" t="s">
        <v>65</v>
      </c>
      <c r="H9" s="9" t="s">
        <v>74</v>
      </c>
      <c r="I9" s="9">
        <v>56</v>
      </c>
      <c r="J9" s="9" t="s">
        <v>195</v>
      </c>
      <c r="K9" s="38">
        <f t="shared" si="0"/>
        <v>56</v>
      </c>
      <c r="L9" s="38">
        <f t="shared" si="1"/>
        <v>19.756666666666668</v>
      </c>
      <c r="M9" s="38">
        <f t="shared" si="2"/>
        <v>36.243333333333332</v>
      </c>
      <c r="N9" s="53">
        <v>52.19</v>
      </c>
      <c r="O9" s="38">
        <f t="shared" si="3"/>
        <v>19.756666666666668</v>
      </c>
      <c r="P9" s="38">
        <f t="shared" si="4"/>
        <v>32.43333333333333</v>
      </c>
      <c r="Q9" s="38"/>
      <c r="R9" s="38"/>
      <c r="S9" s="38"/>
      <c r="T9" s="38"/>
      <c r="U9" s="38"/>
      <c r="V9" s="38"/>
      <c r="W9" s="38"/>
      <c r="X9" s="38"/>
      <c r="Y9" s="9"/>
    </row>
    <row r="10" spans="1:25" ht="60" hidden="1" x14ac:dyDescent="0.25">
      <c r="A10" s="5" t="s">
        <v>24</v>
      </c>
      <c r="B10" s="9" t="s">
        <v>30</v>
      </c>
      <c r="C10" s="9" t="s">
        <v>40</v>
      </c>
      <c r="D10" s="9" t="s">
        <v>519</v>
      </c>
      <c r="E10" s="22">
        <v>45889</v>
      </c>
      <c r="F10" s="9">
        <v>1</v>
      </c>
      <c r="G10" s="10" t="s">
        <v>65</v>
      </c>
      <c r="H10" s="9" t="s">
        <v>74</v>
      </c>
      <c r="I10" s="9">
        <v>18</v>
      </c>
      <c r="J10" s="9" t="s">
        <v>214</v>
      </c>
      <c r="K10" s="38">
        <f t="shared" si="0"/>
        <v>18</v>
      </c>
      <c r="L10" s="38">
        <f t="shared" si="1"/>
        <v>19.756666666666668</v>
      </c>
      <c r="M10" s="38">
        <f t="shared" si="2"/>
        <v>-1.7566666666666677</v>
      </c>
      <c r="N10" s="53">
        <v>45.91</v>
      </c>
      <c r="O10" s="38">
        <f t="shared" si="3"/>
        <v>19.756666666666668</v>
      </c>
      <c r="P10" s="38">
        <f t="shared" si="4"/>
        <v>26.153333333333329</v>
      </c>
      <c r="Q10" s="38"/>
      <c r="R10" s="38"/>
      <c r="S10" s="38"/>
      <c r="T10" s="38"/>
      <c r="U10" s="38"/>
      <c r="V10" s="38"/>
      <c r="W10" s="38"/>
      <c r="X10" s="38"/>
      <c r="Y10" s="9" t="s">
        <v>389</v>
      </c>
    </row>
    <row r="11" spans="1:25" hidden="1" x14ac:dyDescent="0.25">
      <c r="A11" s="5" t="s">
        <v>24</v>
      </c>
      <c r="B11" s="9" t="s">
        <v>31</v>
      </c>
      <c r="C11" s="9" t="s">
        <v>40</v>
      </c>
      <c r="D11" s="9" t="s">
        <v>503</v>
      </c>
      <c r="E11" s="22">
        <v>45890</v>
      </c>
      <c r="F11" s="9">
        <v>1</v>
      </c>
      <c r="G11" s="10" t="s">
        <v>65</v>
      </c>
      <c r="H11" s="9" t="s">
        <v>85</v>
      </c>
      <c r="I11" s="9">
        <v>58</v>
      </c>
      <c r="J11" s="9" t="s">
        <v>222</v>
      </c>
      <c r="K11" s="38">
        <f t="shared" si="0"/>
        <v>58</v>
      </c>
      <c r="L11" s="38">
        <f t="shared" si="1"/>
        <v>19.756666666666668</v>
      </c>
      <c r="M11" s="38">
        <f t="shared" si="2"/>
        <v>38.243333333333332</v>
      </c>
      <c r="N11" s="53">
        <v>53.33</v>
      </c>
      <c r="O11" s="38">
        <f t="shared" si="3"/>
        <v>19.756666666666668</v>
      </c>
      <c r="P11" s="38">
        <f t="shared" si="4"/>
        <v>33.573333333333331</v>
      </c>
      <c r="Q11" s="38"/>
      <c r="R11" s="38"/>
      <c r="S11" s="38"/>
      <c r="T11" s="38"/>
      <c r="U11" s="38"/>
      <c r="V11" s="38"/>
      <c r="W11" s="38"/>
      <c r="X11" s="38"/>
      <c r="Y11" s="9"/>
    </row>
    <row r="12" spans="1:25" hidden="1" x14ac:dyDescent="0.25">
      <c r="A12" s="5" t="s">
        <v>24</v>
      </c>
      <c r="B12" s="9" t="s">
        <v>27</v>
      </c>
      <c r="C12" s="9" t="s">
        <v>39</v>
      </c>
      <c r="D12" s="9" t="s">
        <v>566</v>
      </c>
      <c r="E12" s="22">
        <v>45888</v>
      </c>
      <c r="F12" s="9">
        <v>1</v>
      </c>
      <c r="G12" s="10" t="s">
        <v>64</v>
      </c>
      <c r="H12" s="9" t="s">
        <v>74</v>
      </c>
      <c r="I12" s="9">
        <v>67</v>
      </c>
      <c r="J12" s="9" t="s">
        <v>167</v>
      </c>
      <c r="K12" s="38">
        <f t="shared" si="0"/>
        <v>67</v>
      </c>
      <c r="L12" s="38">
        <f t="shared" si="1"/>
        <v>19.756666666666668</v>
      </c>
      <c r="M12" s="38">
        <f t="shared" si="2"/>
        <v>47.243333333333332</v>
      </c>
      <c r="N12" s="53">
        <v>62.12</v>
      </c>
      <c r="O12" s="38">
        <f t="shared" si="3"/>
        <v>19.756666666666668</v>
      </c>
      <c r="P12" s="38">
        <f t="shared" si="4"/>
        <v>42.36333333333333</v>
      </c>
      <c r="Q12" s="38"/>
      <c r="R12" s="38"/>
      <c r="S12" s="38"/>
      <c r="T12" s="38"/>
      <c r="U12" s="38"/>
      <c r="V12" s="38"/>
      <c r="W12" s="38"/>
      <c r="X12" s="38"/>
      <c r="Y12" s="9"/>
    </row>
    <row r="13" spans="1:25" ht="30" hidden="1" x14ac:dyDescent="0.25">
      <c r="A13" s="5" t="s">
        <v>24</v>
      </c>
      <c r="B13" s="9" t="s">
        <v>28</v>
      </c>
      <c r="C13" s="9" t="s">
        <v>39</v>
      </c>
      <c r="D13" s="9" t="s">
        <v>550</v>
      </c>
      <c r="E13" s="22">
        <v>45889</v>
      </c>
      <c r="F13" s="9">
        <v>1</v>
      </c>
      <c r="G13" s="10" t="s">
        <v>64</v>
      </c>
      <c r="H13" s="9" t="s">
        <v>71</v>
      </c>
      <c r="I13" s="9">
        <v>65</v>
      </c>
      <c r="J13" s="9" t="s">
        <v>183</v>
      </c>
      <c r="K13" s="38">
        <f t="shared" si="0"/>
        <v>65</v>
      </c>
      <c r="L13" s="38">
        <f t="shared" si="1"/>
        <v>19.756666666666668</v>
      </c>
      <c r="M13" s="38">
        <f t="shared" si="2"/>
        <v>45.243333333333332</v>
      </c>
      <c r="N13" s="53">
        <v>62.26</v>
      </c>
      <c r="O13" s="38">
        <f t="shared" si="3"/>
        <v>19.756666666666668</v>
      </c>
      <c r="P13" s="38">
        <f t="shared" si="4"/>
        <v>42.50333333333333</v>
      </c>
      <c r="Q13" s="38"/>
      <c r="R13" s="38"/>
      <c r="S13" s="38"/>
      <c r="T13" s="38"/>
      <c r="U13" s="38"/>
      <c r="V13" s="38"/>
      <c r="W13" s="38"/>
      <c r="X13" s="38"/>
      <c r="Y13" s="9"/>
    </row>
    <row r="14" spans="1:25" hidden="1" x14ac:dyDescent="0.25">
      <c r="A14" s="5" t="s">
        <v>24</v>
      </c>
      <c r="B14" s="9" t="s">
        <v>29</v>
      </c>
      <c r="C14" s="9" t="s">
        <v>39</v>
      </c>
      <c r="D14" s="9" t="s">
        <v>534</v>
      </c>
      <c r="E14" s="22">
        <v>45888</v>
      </c>
      <c r="F14" s="9">
        <v>1</v>
      </c>
      <c r="G14" s="10" t="s">
        <v>64</v>
      </c>
      <c r="H14" s="9" t="s">
        <v>74</v>
      </c>
      <c r="I14" s="9">
        <v>67</v>
      </c>
      <c r="J14" s="9" t="s">
        <v>195</v>
      </c>
      <c r="K14" s="38">
        <f t="shared" si="0"/>
        <v>67</v>
      </c>
      <c r="L14" s="38">
        <f t="shared" si="1"/>
        <v>19.756666666666668</v>
      </c>
      <c r="M14" s="38">
        <f t="shared" si="2"/>
        <v>47.243333333333332</v>
      </c>
      <c r="N14" s="53">
        <v>64.17</v>
      </c>
      <c r="O14" s="38">
        <f t="shared" si="3"/>
        <v>19.756666666666668</v>
      </c>
      <c r="P14" s="38">
        <f t="shared" si="4"/>
        <v>44.413333333333334</v>
      </c>
      <c r="Q14" s="38"/>
      <c r="R14" s="38"/>
      <c r="S14" s="38"/>
      <c r="T14" s="38"/>
      <c r="U14" s="38"/>
      <c r="V14" s="38"/>
      <c r="W14" s="38"/>
      <c r="X14" s="38"/>
      <c r="Y14" s="9"/>
    </row>
    <row r="15" spans="1:25" ht="30" hidden="1" x14ac:dyDescent="0.25">
      <c r="A15" s="5" t="s">
        <v>24</v>
      </c>
      <c r="B15" s="9" t="s">
        <v>30</v>
      </c>
      <c r="C15" s="9" t="s">
        <v>39</v>
      </c>
      <c r="D15" s="9" t="s">
        <v>518</v>
      </c>
      <c r="E15" s="22">
        <v>45889</v>
      </c>
      <c r="F15" s="9">
        <v>1</v>
      </c>
      <c r="G15" s="10" t="s">
        <v>64</v>
      </c>
      <c r="H15" s="9" t="s">
        <v>74</v>
      </c>
      <c r="I15" s="9">
        <v>77</v>
      </c>
      <c r="J15" s="9" t="s">
        <v>213</v>
      </c>
      <c r="K15" s="38">
        <f t="shared" si="0"/>
        <v>77</v>
      </c>
      <c r="L15" s="38">
        <f t="shared" si="1"/>
        <v>19.756666666666668</v>
      </c>
      <c r="M15" s="38">
        <f t="shared" si="2"/>
        <v>57.243333333333332</v>
      </c>
      <c r="N15" s="53">
        <v>69.59</v>
      </c>
      <c r="O15" s="38">
        <f t="shared" si="3"/>
        <v>19.756666666666668</v>
      </c>
      <c r="P15" s="38">
        <f t="shared" si="4"/>
        <v>49.833333333333336</v>
      </c>
      <c r="Q15" s="38"/>
      <c r="R15" s="38"/>
      <c r="S15" s="38"/>
      <c r="T15" s="38"/>
      <c r="U15" s="38"/>
      <c r="V15" s="38"/>
      <c r="W15" s="38"/>
      <c r="X15" s="38"/>
      <c r="Y15" s="9"/>
    </row>
    <row r="16" spans="1:25" hidden="1" x14ac:dyDescent="0.25">
      <c r="A16" s="5" t="s">
        <v>24</v>
      </c>
      <c r="B16" s="9" t="s">
        <v>31</v>
      </c>
      <c r="C16" s="9" t="s">
        <v>39</v>
      </c>
      <c r="D16" s="9" t="s">
        <v>502</v>
      </c>
      <c r="E16" s="22">
        <v>45890</v>
      </c>
      <c r="F16" s="9">
        <v>1</v>
      </c>
      <c r="G16" s="10" t="s">
        <v>64</v>
      </c>
      <c r="H16" s="9" t="s">
        <v>85</v>
      </c>
      <c r="I16" s="9">
        <v>57</v>
      </c>
      <c r="J16" s="9" t="s">
        <v>222</v>
      </c>
      <c r="K16" s="38">
        <f t="shared" si="0"/>
        <v>57</v>
      </c>
      <c r="L16" s="38">
        <f t="shared" si="1"/>
        <v>19.756666666666668</v>
      </c>
      <c r="M16" s="38">
        <f t="shared" si="2"/>
        <v>37.243333333333332</v>
      </c>
      <c r="N16" s="53">
        <v>52.95</v>
      </c>
      <c r="O16" s="38">
        <f t="shared" si="3"/>
        <v>19.756666666666668</v>
      </c>
      <c r="P16" s="38">
        <f t="shared" si="4"/>
        <v>33.193333333333335</v>
      </c>
      <c r="Q16" s="38"/>
      <c r="R16" s="38"/>
      <c r="S16" s="38"/>
      <c r="T16" s="38"/>
      <c r="U16" s="38"/>
      <c r="V16" s="38"/>
      <c r="W16" s="38"/>
      <c r="X16" s="38"/>
      <c r="Y16" s="9"/>
    </row>
    <row r="17" spans="1:25" ht="30" hidden="1" x14ac:dyDescent="0.25">
      <c r="A17" s="5" t="s">
        <v>24</v>
      </c>
      <c r="B17" s="9" t="s">
        <v>27</v>
      </c>
      <c r="C17" s="9" t="s">
        <v>38</v>
      </c>
      <c r="D17" s="9" t="s">
        <v>565</v>
      </c>
      <c r="E17" s="22">
        <v>45888</v>
      </c>
      <c r="F17" s="9">
        <v>1</v>
      </c>
      <c r="G17" s="10" t="s">
        <v>63</v>
      </c>
      <c r="H17" s="9" t="s">
        <v>74</v>
      </c>
      <c r="I17" s="9">
        <v>63</v>
      </c>
      <c r="J17" s="9" t="s">
        <v>166</v>
      </c>
      <c r="K17" s="38">
        <f t="shared" si="0"/>
        <v>63</v>
      </c>
      <c r="L17" s="38">
        <f t="shared" si="1"/>
        <v>19.756666666666668</v>
      </c>
      <c r="M17" s="38">
        <f t="shared" si="2"/>
        <v>43.243333333333332</v>
      </c>
      <c r="N17" s="53">
        <v>57.59</v>
      </c>
      <c r="O17" s="38">
        <f t="shared" si="3"/>
        <v>19.756666666666668</v>
      </c>
      <c r="P17" s="38">
        <f t="shared" si="4"/>
        <v>37.833333333333336</v>
      </c>
      <c r="Q17" s="38"/>
      <c r="R17" s="38"/>
      <c r="S17" s="38"/>
      <c r="T17" s="38"/>
      <c r="U17" s="38"/>
      <c r="V17" s="38"/>
      <c r="W17" s="38"/>
      <c r="X17" s="38"/>
      <c r="Y17" s="9"/>
    </row>
    <row r="18" spans="1:25" hidden="1" x14ac:dyDescent="0.25">
      <c r="A18" s="5" t="s">
        <v>24</v>
      </c>
      <c r="B18" s="9" t="s">
        <v>28</v>
      </c>
      <c r="C18" s="9" t="s">
        <v>38</v>
      </c>
      <c r="D18" s="9" t="s">
        <v>549</v>
      </c>
      <c r="E18" s="22">
        <v>45889</v>
      </c>
      <c r="F18" s="9">
        <v>1</v>
      </c>
      <c r="G18" s="10" t="s">
        <v>63</v>
      </c>
      <c r="H18" s="9" t="s">
        <v>71</v>
      </c>
      <c r="I18" s="9">
        <v>60</v>
      </c>
      <c r="J18" s="9" t="s">
        <v>182</v>
      </c>
      <c r="K18" s="38">
        <f t="shared" si="0"/>
        <v>60</v>
      </c>
      <c r="L18" s="38">
        <f t="shared" si="1"/>
        <v>19.756666666666668</v>
      </c>
      <c r="M18" s="38">
        <f t="shared" si="2"/>
        <v>40.243333333333332</v>
      </c>
      <c r="N18" s="53">
        <v>57.76</v>
      </c>
      <c r="O18" s="38">
        <f t="shared" si="3"/>
        <v>19.756666666666668</v>
      </c>
      <c r="P18" s="38">
        <f t="shared" si="4"/>
        <v>38.00333333333333</v>
      </c>
      <c r="Q18" s="38"/>
      <c r="R18" s="38"/>
      <c r="S18" s="38"/>
      <c r="T18" s="38"/>
      <c r="U18" s="38"/>
      <c r="V18" s="38"/>
      <c r="W18" s="38"/>
      <c r="X18" s="38"/>
      <c r="Y18" s="9"/>
    </row>
    <row r="19" spans="1:25" hidden="1" x14ac:dyDescent="0.25">
      <c r="A19" s="5" t="s">
        <v>24</v>
      </c>
      <c r="B19" s="9" t="s">
        <v>29</v>
      </c>
      <c r="C19" s="9" t="s">
        <v>38</v>
      </c>
      <c r="D19" s="9" t="s">
        <v>533</v>
      </c>
      <c r="E19" s="22">
        <v>45888</v>
      </c>
      <c r="F19" s="9">
        <v>1</v>
      </c>
      <c r="G19" s="10" t="s">
        <v>63</v>
      </c>
      <c r="H19" s="9" t="s">
        <v>74</v>
      </c>
      <c r="I19" s="9">
        <v>69</v>
      </c>
      <c r="J19" s="9" t="s">
        <v>195</v>
      </c>
      <c r="K19" s="38">
        <f t="shared" si="0"/>
        <v>69</v>
      </c>
      <c r="L19" s="38">
        <f t="shared" si="1"/>
        <v>19.756666666666668</v>
      </c>
      <c r="M19" s="38">
        <f t="shared" si="2"/>
        <v>49.243333333333332</v>
      </c>
      <c r="N19" s="53">
        <v>66.39</v>
      </c>
      <c r="O19" s="38">
        <f t="shared" si="3"/>
        <v>19.756666666666668</v>
      </c>
      <c r="P19" s="38">
        <f t="shared" si="4"/>
        <v>46.633333333333333</v>
      </c>
      <c r="Q19" s="38"/>
      <c r="R19" s="38"/>
      <c r="S19" s="38"/>
      <c r="T19" s="38"/>
      <c r="U19" s="38"/>
      <c r="V19" s="38"/>
      <c r="W19" s="38"/>
      <c r="X19" s="38"/>
      <c r="Y19" s="9"/>
    </row>
    <row r="20" spans="1:25" hidden="1" x14ac:dyDescent="0.25">
      <c r="A20" s="5" t="s">
        <v>24</v>
      </c>
      <c r="B20" s="9" t="s">
        <v>30</v>
      </c>
      <c r="C20" s="9" t="s">
        <v>38</v>
      </c>
      <c r="D20" s="9" t="s">
        <v>517</v>
      </c>
      <c r="E20" s="22">
        <v>45889</v>
      </c>
      <c r="F20" s="9">
        <v>1</v>
      </c>
      <c r="G20" s="10" t="s">
        <v>63</v>
      </c>
      <c r="H20" s="9" t="s">
        <v>74</v>
      </c>
      <c r="I20" s="9">
        <v>61</v>
      </c>
      <c r="J20" s="9" t="s">
        <v>212</v>
      </c>
      <c r="K20" s="38">
        <f t="shared" si="0"/>
        <v>61</v>
      </c>
      <c r="L20" s="38">
        <f t="shared" si="1"/>
        <v>19.756666666666668</v>
      </c>
      <c r="M20" s="38">
        <f t="shared" si="2"/>
        <v>41.243333333333332</v>
      </c>
      <c r="N20" s="53">
        <v>53.63</v>
      </c>
      <c r="O20" s="38">
        <f t="shared" si="3"/>
        <v>19.756666666666668</v>
      </c>
      <c r="P20" s="38">
        <f t="shared" si="4"/>
        <v>33.873333333333335</v>
      </c>
      <c r="Q20" s="38"/>
      <c r="R20" s="38"/>
      <c r="S20" s="38"/>
      <c r="T20" s="38"/>
      <c r="U20" s="38"/>
      <c r="V20" s="38"/>
      <c r="W20" s="38"/>
      <c r="X20" s="38"/>
      <c r="Y20" s="9"/>
    </row>
    <row r="21" spans="1:25" hidden="1" x14ac:dyDescent="0.25">
      <c r="A21" s="5" t="s">
        <v>24</v>
      </c>
      <c r="B21" s="9" t="s">
        <v>31</v>
      </c>
      <c r="C21" s="9" t="s">
        <v>38</v>
      </c>
      <c r="D21" s="9" t="s">
        <v>501</v>
      </c>
      <c r="E21" s="22">
        <v>45890</v>
      </c>
      <c r="F21" s="9">
        <v>1</v>
      </c>
      <c r="G21" s="10" t="s">
        <v>63</v>
      </c>
      <c r="H21" s="9" t="s">
        <v>85</v>
      </c>
      <c r="I21" s="9">
        <v>60</v>
      </c>
      <c r="J21" s="9" t="s">
        <v>222</v>
      </c>
      <c r="K21" s="38">
        <f t="shared" si="0"/>
        <v>60</v>
      </c>
      <c r="L21" s="38">
        <f t="shared" si="1"/>
        <v>19.756666666666668</v>
      </c>
      <c r="M21" s="38">
        <f t="shared" si="2"/>
        <v>40.243333333333332</v>
      </c>
      <c r="N21" s="53">
        <v>55.71</v>
      </c>
      <c r="O21" s="38">
        <f t="shared" si="3"/>
        <v>19.756666666666668</v>
      </c>
      <c r="P21" s="38">
        <f t="shared" si="4"/>
        <v>35.953333333333333</v>
      </c>
      <c r="Q21" s="38"/>
      <c r="R21" s="38"/>
      <c r="S21" s="38"/>
      <c r="T21" s="38"/>
      <c r="U21" s="38"/>
      <c r="V21" s="38"/>
      <c r="W21" s="38"/>
      <c r="X21" s="38"/>
      <c r="Y21" s="9"/>
    </row>
    <row r="22" spans="1:25" hidden="1" x14ac:dyDescent="0.25">
      <c r="A22" s="5" t="s">
        <v>24</v>
      </c>
      <c r="B22" s="9" t="s">
        <v>27</v>
      </c>
      <c r="C22" s="9" t="s">
        <v>37</v>
      </c>
      <c r="D22" s="9" t="s">
        <v>564</v>
      </c>
      <c r="E22" s="22">
        <v>45888</v>
      </c>
      <c r="F22" s="9">
        <v>1</v>
      </c>
      <c r="G22" s="10" t="s">
        <v>62</v>
      </c>
      <c r="H22" s="9" t="s">
        <v>74</v>
      </c>
      <c r="I22" s="9">
        <v>71</v>
      </c>
      <c r="J22" s="9" t="s">
        <v>165</v>
      </c>
      <c r="K22" s="38">
        <f t="shared" si="0"/>
        <v>71</v>
      </c>
      <c r="L22" s="38">
        <f t="shared" si="1"/>
        <v>19.756666666666668</v>
      </c>
      <c r="M22" s="38">
        <f t="shared" si="2"/>
        <v>51.243333333333332</v>
      </c>
      <c r="N22" s="53">
        <v>63.17</v>
      </c>
      <c r="O22" s="38">
        <f t="shared" si="3"/>
        <v>19.756666666666668</v>
      </c>
      <c r="P22" s="38">
        <f t="shared" si="4"/>
        <v>43.413333333333334</v>
      </c>
      <c r="Q22" s="38"/>
      <c r="R22" s="38"/>
      <c r="S22" s="38"/>
      <c r="T22" s="38"/>
      <c r="U22" s="38"/>
      <c r="V22" s="38"/>
      <c r="W22" s="38"/>
      <c r="X22" s="38"/>
      <c r="Y22" s="9"/>
    </row>
    <row r="23" spans="1:25" hidden="1" x14ac:dyDescent="0.25">
      <c r="A23" s="5" t="s">
        <v>24</v>
      </c>
      <c r="B23" s="9" t="s">
        <v>28</v>
      </c>
      <c r="C23" s="9" t="s">
        <v>37</v>
      </c>
      <c r="D23" s="9" t="s">
        <v>548</v>
      </c>
      <c r="E23" s="22">
        <v>45889</v>
      </c>
      <c r="F23" s="9">
        <v>1</v>
      </c>
      <c r="G23" s="10" t="s">
        <v>62</v>
      </c>
      <c r="H23" s="9" t="s">
        <v>71</v>
      </c>
      <c r="I23" s="9">
        <v>60</v>
      </c>
      <c r="J23" s="9" t="s">
        <v>182</v>
      </c>
      <c r="K23" s="38">
        <f t="shared" si="0"/>
        <v>60</v>
      </c>
      <c r="L23" s="38">
        <f t="shared" si="1"/>
        <v>19.756666666666668</v>
      </c>
      <c r="M23" s="38">
        <f t="shared" si="2"/>
        <v>40.243333333333332</v>
      </c>
      <c r="N23" s="53">
        <v>57.77</v>
      </c>
      <c r="O23" s="38">
        <f t="shared" si="3"/>
        <v>19.756666666666668</v>
      </c>
      <c r="P23" s="38">
        <f t="shared" si="4"/>
        <v>38.013333333333335</v>
      </c>
      <c r="Q23" s="38"/>
      <c r="R23" s="38"/>
      <c r="S23" s="38"/>
      <c r="T23" s="38"/>
      <c r="U23" s="38"/>
      <c r="V23" s="38"/>
      <c r="W23" s="38"/>
      <c r="X23" s="38"/>
      <c r="Y23" s="9"/>
    </row>
    <row r="24" spans="1:25" hidden="1" x14ac:dyDescent="0.25">
      <c r="A24" s="5" t="s">
        <v>24</v>
      </c>
      <c r="B24" s="9" t="s">
        <v>29</v>
      </c>
      <c r="C24" s="9" t="s">
        <v>37</v>
      </c>
      <c r="D24" s="9" t="s">
        <v>532</v>
      </c>
      <c r="E24" s="22">
        <v>45888</v>
      </c>
      <c r="F24" s="9">
        <v>1</v>
      </c>
      <c r="G24" s="10" t="s">
        <v>62</v>
      </c>
      <c r="H24" s="9" t="s">
        <v>74</v>
      </c>
      <c r="I24" s="9">
        <v>69</v>
      </c>
      <c r="J24" s="9" t="s">
        <v>194</v>
      </c>
      <c r="K24" s="38">
        <f t="shared" si="0"/>
        <v>69</v>
      </c>
      <c r="L24" s="38">
        <f t="shared" si="1"/>
        <v>19.756666666666668</v>
      </c>
      <c r="M24" s="38">
        <f t="shared" si="2"/>
        <v>49.243333333333332</v>
      </c>
      <c r="N24" s="53">
        <v>65.319999999999993</v>
      </c>
      <c r="O24" s="38">
        <f t="shared" si="3"/>
        <v>19.756666666666668</v>
      </c>
      <c r="P24" s="38">
        <f t="shared" si="4"/>
        <v>45.563333333333325</v>
      </c>
      <c r="Q24" s="38"/>
      <c r="R24" s="38"/>
      <c r="S24" s="38"/>
      <c r="T24" s="38"/>
      <c r="U24" s="38"/>
      <c r="V24" s="38"/>
      <c r="W24" s="38"/>
      <c r="X24" s="38"/>
      <c r="Y24" s="9"/>
    </row>
    <row r="25" spans="1:25" ht="30" hidden="1" x14ac:dyDescent="0.25">
      <c r="A25" s="5" t="s">
        <v>24</v>
      </c>
      <c r="B25" s="9" t="s">
        <v>30</v>
      </c>
      <c r="C25" s="9" t="s">
        <v>37</v>
      </c>
      <c r="D25" s="9" t="s">
        <v>516</v>
      </c>
      <c r="E25" s="22">
        <v>45889</v>
      </c>
      <c r="F25" s="9">
        <v>1</v>
      </c>
      <c r="G25" s="10" t="s">
        <v>62</v>
      </c>
      <c r="H25" s="9" t="s">
        <v>74</v>
      </c>
      <c r="I25" s="9">
        <v>74</v>
      </c>
      <c r="J25" s="9" t="s">
        <v>211</v>
      </c>
      <c r="K25" s="38">
        <f t="shared" si="0"/>
        <v>74</v>
      </c>
      <c r="L25" s="38">
        <f t="shared" si="1"/>
        <v>19.756666666666668</v>
      </c>
      <c r="M25" s="38">
        <f t="shared" si="2"/>
        <v>54.243333333333332</v>
      </c>
      <c r="N25" s="53">
        <v>67.650000000000006</v>
      </c>
      <c r="O25" s="38">
        <f t="shared" si="3"/>
        <v>19.756666666666668</v>
      </c>
      <c r="P25" s="38">
        <f t="shared" si="4"/>
        <v>47.893333333333338</v>
      </c>
      <c r="Q25" s="38"/>
      <c r="R25" s="38"/>
      <c r="S25" s="38"/>
      <c r="T25" s="38"/>
      <c r="U25" s="38"/>
      <c r="V25" s="38"/>
      <c r="W25" s="38"/>
      <c r="X25" s="38"/>
      <c r="Y25" s="9"/>
    </row>
    <row r="26" spans="1:25" hidden="1" x14ac:dyDescent="0.25">
      <c r="A26" s="5" t="s">
        <v>24</v>
      </c>
      <c r="B26" s="9" t="s">
        <v>31</v>
      </c>
      <c r="C26" s="9" t="s">
        <v>37</v>
      </c>
      <c r="D26" s="9" t="s">
        <v>500</v>
      </c>
      <c r="E26" s="22">
        <v>45890</v>
      </c>
      <c r="F26" s="9">
        <v>1</v>
      </c>
      <c r="G26" s="10" t="s">
        <v>62</v>
      </c>
      <c r="H26" s="9" t="s">
        <v>85</v>
      </c>
      <c r="I26" s="9">
        <v>56</v>
      </c>
      <c r="J26" s="9" t="s">
        <v>222</v>
      </c>
      <c r="K26" s="38">
        <f t="shared" si="0"/>
        <v>56</v>
      </c>
      <c r="L26" s="38">
        <f t="shared" si="1"/>
        <v>19.756666666666668</v>
      </c>
      <c r="M26" s="38">
        <f t="shared" si="2"/>
        <v>36.243333333333332</v>
      </c>
      <c r="N26" s="53">
        <v>51.87</v>
      </c>
      <c r="O26" s="38">
        <f t="shared" si="3"/>
        <v>19.756666666666668</v>
      </c>
      <c r="P26" s="38">
        <f t="shared" si="4"/>
        <v>32.11333333333333</v>
      </c>
      <c r="Q26" s="38"/>
      <c r="R26" s="38"/>
      <c r="S26" s="38"/>
      <c r="T26" s="38"/>
      <c r="U26" s="38"/>
      <c r="V26" s="38"/>
      <c r="W26" s="38"/>
      <c r="X26" s="38"/>
      <c r="Y26" s="9"/>
    </row>
    <row r="27" spans="1:25" hidden="1" x14ac:dyDescent="0.25">
      <c r="A27" s="5" t="s">
        <v>24</v>
      </c>
      <c r="B27" s="9" t="s">
        <v>27</v>
      </c>
      <c r="C27" s="9" t="s">
        <v>36</v>
      </c>
      <c r="D27" s="9" t="s">
        <v>563</v>
      </c>
      <c r="E27" s="22">
        <v>45888</v>
      </c>
      <c r="F27" s="9">
        <v>1</v>
      </c>
      <c r="G27" s="10" t="s">
        <v>61</v>
      </c>
      <c r="H27" s="9" t="s">
        <v>85</v>
      </c>
      <c r="I27" s="9">
        <v>69</v>
      </c>
      <c r="J27" s="9" t="s">
        <v>164</v>
      </c>
      <c r="K27" s="38">
        <f t="shared" si="0"/>
        <v>69</v>
      </c>
      <c r="L27" s="38">
        <f t="shared" si="1"/>
        <v>19.756666666666668</v>
      </c>
      <c r="M27" s="38">
        <f t="shared" si="2"/>
        <v>49.243333333333332</v>
      </c>
      <c r="N27" s="53">
        <v>57.06</v>
      </c>
      <c r="O27" s="38">
        <f t="shared" si="3"/>
        <v>19.756666666666668</v>
      </c>
      <c r="P27" s="38">
        <f t="shared" si="4"/>
        <v>37.303333333333335</v>
      </c>
      <c r="Q27" s="38"/>
      <c r="R27" s="38"/>
      <c r="S27" s="38"/>
      <c r="T27" s="38"/>
      <c r="U27" s="38"/>
      <c r="V27" s="38"/>
      <c r="W27" s="38"/>
      <c r="X27" s="38"/>
      <c r="Y27" s="9"/>
    </row>
    <row r="28" spans="1:25" hidden="1" x14ac:dyDescent="0.25">
      <c r="A28" s="5" t="s">
        <v>24</v>
      </c>
      <c r="B28" s="9" t="s">
        <v>28</v>
      </c>
      <c r="C28" s="9" t="s">
        <v>36</v>
      </c>
      <c r="D28" s="9" t="s">
        <v>547</v>
      </c>
      <c r="E28" s="22">
        <v>45889</v>
      </c>
      <c r="F28" s="9">
        <v>1</v>
      </c>
      <c r="G28" s="10" t="s">
        <v>61</v>
      </c>
      <c r="H28" s="9" t="s">
        <v>74</v>
      </c>
      <c r="I28" s="9">
        <v>63</v>
      </c>
      <c r="J28" s="9" t="s">
        <v>181</v>
      </c>
      <c r="K28" s="38">
        <f t="shared" si="0"/>
        <v>63</v>
      </c>
      <c r="L28" s="38">
        <f t="shared" si="1"/>
        <v>19.756666666666668</v>
      </c>
      <c r="M28" s="38">
        <f t="shared" si="2"/>
        <v>43.243333333333332</v>
      </c>
      <c r="N28" s="53">
        <v>60.03</v>
      </c>
      <c r="O28" s="38">
        <f t="shared" si="3"/>
        <v>19.756666666666668</v>
      </c>
      <c r="P28" s="38">
        <f t="shared" si="4"/>
        <v>40.273333333333333</v>
      </c>
      <c r="Q28" s="38"/>
      <c r="R28" s="38"/>
      <c r="S28" s="38"/>
      <c r="T28" s="38"/>
      <c r="U28" s="38"/>
      <c r="V28" s="38"/>
      <c r="W28" s="38"/>
      <c r="X28" s="38"/>
      <c r="Y28" s="9"/>
    </row>
    <row r="29" spans="1:25" hidden="1" x14ac:dyDescent="0.25">
      <c r="A29" s="5" t="s">
        <v>24</v>
      </c>
      <c r="B29" s="9" t="s">
        <v>29</v>
      </c>
      <c r="C29" s="9" t="s">
        <v>36</v>
      </c>
      <c r="D29" s="9" t="s">
        <v>531</v>
      </c>
      <c r="E29" s="22">
        <v>45888</v>
      </c>
      <c r="F29" s="9">
        <v>1</v>
      </c>
      <c r="G29" s="10" t="s">
        <v>61</v>
      </c>
      <c r="H29" s="9" t="s">
        <v>74</v>
      </c>
      <c r="I29" s="9">
        <v>62</v>
      </c>
      <c r="J29" s="9" t="s">
        <v>194</v>
      </c>
      <c r="K29" s="38">
        <f t="shared" si="0"/>
        <v>62</v>
      </c>
      <c r="L29" s="38">
        <f t="shared" si="1"/>
        <v>19.756666666666668</v>
      </c>
      <c r="M29" s="38">
        <f t="shared" si="2"/>
        <v>42.243333333333332</v>
      </c>
      <c r="N29" s="53">
        <v>57.54</v>
      </c>
      <c r="O29" s="38">
        <f t="shared" si="3"/>
        <v>19.756666666666668</v>
      </c>
      <c r="P29" s="38">
        <f t="shared" si="4"/>
        <v>37.783333333333331</v>
      </c>
      <c r="Q29" s="38"/>
      <c r="R29" s="38"/>
      <c r="S29" s="38"/>
      <c r="T29" s="38"/>
      <c r="U29" s="38"/>
      <c r="V29" s="38"/>
      <c r="W29" s="38"/>
      <c r="X29" s="38"/>
      <c r="Y29" s="9"/>
    </row>
    <row r="30" spans="1:25" ht="30" hidden="1" x14ac:dyDescent="0.25">
      <c r="A30" s="5" t="s">
        <v>24</v>
      </c>
      <c r="B30" s="9" t="s">
        <v>30</v>
      </c>
      <c r="C30" s="9" t="s">
        <v>36</v>
      </c>
      <c r="D30" s="9" t="s">
        <v>515</v>
      </c>
      <c r="E30" s="22">
        <v>45889</v>
      </c>
      <c r="F30" s="9">
        <v>1</v>
      </c>
      <c r="G30" s="10" t="s">
        <v>61</v>
      </c>
      <c r="H30" s="9" t="s">
        <v>74</v>
      </c>
      <c r="I30" s="9">
        <v>73</v>
      </c>
      <c r="J30" s="9" t="s">
        <v>210</v>
      </c>
      <c r="K30" s="38">
        <f t="shared" si="0"/>
        <v>73</v>
      </c>
      <c r="L30" s="38">
        <f t="shared" si="1"/>
        <v>19.756666666666668</v>
      </c>
      <c r="M30" s="38">
        <f t="shared" si="2"/>
        <v>53.243333333333332</v>
      </c>
      <c r="N30" s="53">
        <v>65.33</v>
      </c>
      <c r="O30" s="38">
        <f t="shared" si="3"/>
        <v>19.756666666666668</v>
      </c>
      <c r="P30" s="38">
        <f t="shared" si="4"/>
        <v>45.573333333333331</v>
      </c>
      <c r="Q30" s="38"/>
      <c r="R30" s="38"/>
      <c r="S30" s="38"/>
      <c r="T30" s="38"/>
      <c r="U30" s="38"/>
      <c r="V30" s="38"/>
      <c r="W30" s="38"/>
      <c r="X30" s="38"/>
      <c r="Y30" s="9"/>
    </row>
    <row r="31" spans="1:25" hidden="1" x14ac:dyDescent="0.25">
      <c r="A31" s="5" t="s">
        <v>24</v>
      </c>
      <c r="B31" s="9" t="s">
        <v>31</v>
      </c>
      <c r="C31" s="9" t="s">
        <v>36</v>
      </c>
      <c r="D31" s="9" t="s">
        <v>499</v>
      </c>
      <c r="E31" s="22">
        <v>45890</v>
      </c>
      <c r="F31" s="9">
        <v>1</v>
      </c>
      <c r="G31" s="10" t="s">
        <v>61</v>
      </c>
      <c r="H31" s="9" t="s">
        <v>85</v>
      </c>
      <c r="I31" s="9">
        <v>61</v>
      </c>
      <c r="J31" s="9" t="s">
        <v>221</v>
      </c>
      <c r="K31" s="38">
        <f t="shared" si="0"/>
        <v>61</v>
      </c>
      <c r="L31" s="38">
        <f t="shared" si="1"/>
        <v>19.756666666666668</v>
      </c>
      <c r="M31" s="38">
        <f t="shared" si="2"/>
        <v>41.243333333333332</v>
      </c>
      <c r="N31" s="53">
        <v>55.52</v>
      </c>
      <c r="O31" s="38">
        <f t="shared" si="3"/>
        <v>19.756666666666668</v>
      </c>
      <c r="P31" s="38">
        <f t="shared" si="4"/>
        <v>35.763333333333335</v>
      </c>
      <c r="Q31" s="38"/>
      <c r="R31" s="38"/>
      <c r="S31" s="38"/>
      <c r="T31" s="38"/>
      <c r="U31" s="38"/>
      <c r="V31" s="38"/>
      <c r="W31" s="38"/>
      <c r="X31" s="38"/>
      <c r="Y31" s="9"/>
    </row>
    <row r="32" spans="1:25" hidden="1" x14ac:dyDescent="0.25">
      <c r="A32" s="5" t="s">
        <v>24</v>
      </c>
      <c r="B32" s="9" t="s">
        <v>27</v>
      </c>
      <c r="C32" s="9" t="s">
        <v>35</v>
      </c>
      <c r="D32" s="9" t="s">
        <v>562</v>
      </c>
      <c r="E32" s="22">
        <v>45888</v>
      </c>
      <c r="F32" s="9">
        <v>1</v>
      </c>
      <c r="G32" s="10" t="s">
        <v>60</v>
      </c>
      <c r="H32" s="9" t="s">
        <v>85</v>
      </c>
      <c r="I32" s="9">
        <v>57</v>
      </c>
      <c r="J32" s="9" t="s">
        <v>163</v>
      </c>
      <c r="K32" s="38">
        <f t="shared" si="0"/>
        <v>57</v>
      </c>
      <c r="L32" s="38">
        <f t="shared" si="1"/>
        <v>19.756666666666668</v>
      </c>
      <c r="M32" s="38">
        <f t="shared" si="2"/>
        <v>37.243333333333332</v>
      </c>
      <c r="N32" s="53">
        <v>53.55</v>
      </c>
      <c r="O32" s="38">
        <f t="shared" si="3"/>
        <v>19.756666666666668</v>
      </c>
      <c r="P32" s="38">
        <f t="shared" si="4"/>
        <v>33.793333333333329</v>
      </c>
      <c r="Q32" s="38"/>
      <c r="R32" s="38"/>
      <c r="S32" s="38"/>
      <c r="T32" s="38"/>
      <c r="U32" s="38"/>
      <c r="V32" s="38"/>
      <c r="W32" s="38"/>
      <c r="X32" s="38"/>
      <c r="Y32" s="9"/>
    </row>
    <row r="33" spans="1:25" hidden="1" x14ac:dyDescent="0.25">
      <c r="A33" s="5" t="s">
        <v>24</v>
      </c>
      <c r="B33" s="9" t="s">
        <v>28</v>
      </c>
      <c r="C33" s="9" t="s">
        <v>35</v>
      </c>
      <c r="D33" s="9" t="s">
        <v>546</v>
      </c>
      <c r="E33" s="22">
        <v>45889</v>
      </c>
      <c r="F33" s="9">
        <v>1</v>
      </c>
      <c r="G33" s="10" t="s">
        <v>60</v>
      </c>
      <c r="H33" s="9" t="s">
        <v>74</v>
      </c>
      <c r="I33" s="9">
        <v>63</v>
      </c>
      <c r="J33" s="9" t="s">
        <v>177</v>
      </c>
      <c r="K33" s="38">
        <f t="shared" si="0"/>
        <v>63</v>
      </c>
      <c r="L33" s="38">
        <f t="shared" si="1"/>
        <v>19.756666666666668</v>
      </c>
      <c r="M33" s="38">
        <f t="shared" si="2"/>
        <v>43.243333333333332</v>
      </c>
      <c r="N33" s="53">
        <v>60.54</v>
      </c>
      <c r="O33" s="38">
        <f t="shared" si="3"/>
        <v>19.756666666666668</v>
      </c>
      <c r="P33" s="38">
        <f t="shared" si="4"/>
        <v>40.783333333333331</v>
      </c>
      <c r="Q33" s="38"/>
      <c r="R33" s="38"/>
      <c r="S33" s="38"/>
      <c r="T33" s="38"/>
      <c r="U33" s="38"/>
      <c r="V33" s="38"/>
      <c r="W33" s="38"/>
      <c r="X33" s="38"/>
      <c r="Y33" s="9"/>
    </row>
    <row r="34" spans="1:25" hidden="1" x14ac:dyDescent="0.25">
      <c r="A34" s="5" t="s">
        <v>24</v>
      </c>
      <c r="B34" s="9" t="s">
        <v>29</v>
      </c>
      <c r="C34" s="9" t="s">
        <v>35</v>
      </c>
      <c r="D34" s="9" t="s">
        <v>530</v>
      </c>
      <c r="E34" s="22">
        <v>45888</v>
      </c>
      <c r="F34" s="9">
        <v>1</v>
      </c>
      <c r="G34" s="10" t="s">
        <v>60</v>
      </c>
      <c r="H34" s="9" t="s">
        <v>74</v>
      </c>
      <c r="I34" s="9">
        <v>60</v>
      </c>
      <c r="J34" s="9" t="s">
        <v>194</v>
      </c>
      <c r="K34" s="38">
        <f t="shared" si="0"/>
        <v>60</v>
      </c>
      <c r="L34" s="38">
        <f t="shared" si="1"/>
        <v>19.756666666666668</v>
      </c>
      <c r="M34" s="38">
        <f t="shared" si="2"/>
        <v>40.243333333333332</v>
      </c>
      <c r="N34" s="53">
        <v>56.83</v>
      </c>
      <c r="O34" s="38">
        <f t="shared" si="3"/>
        <v>19.756666666666668</v>
      </c>
      <c r="P34" s="38">
        <f t="shared" si="4"/>
        <v>37.073333333333331</v>
      </c>
      <c r="Q34" s="38"/>
      <c r="R34" s="38"/>
      <c r="S34" s="38"/>
      <c r="T34" s="38"/>
      <c r="U34" s="38"/>
      <c r="V34" s="38"/>
      <c r="W34" s="38"/>
      <c r="X34" s="38"/>
      <c r="Y34" s="9"/>
    </row>
    <row r="35" spans="1:25" ht="30" hidden="1" x14ac:dyDescent="0.25">
      <c r="A35" s="5" t="s">
        <v>24</v>
      </c>
      <c r="B35" s="9" t="s">
        <v>30</v>
      </c>
      <c r="C35" s="9" t="s">
        <v>35</v>
      </c>
      <c r="D35" s="9" t="s">
        <v>514</v>
      </c>
      <c r="E35" s="22">
        <v>45889</v>
      </c>
      <c r="F35" s="9">
        <v>1</v>
      </c>
      <c r="G35" s="10" t="s">
        <v>60</v>
      </c>
      <c r="H35" s="9" t="s">
        <v>74</v>
      </c>
      <c r="I35" s="9">
        <v>73</v>
      </c>
      <c r="J35" s="9" t="s">
        <v>209</v>
      </c>
      <c r="K35" s="38">
        <f t="shared" si="0"/>
        <v>73</v>
      </c>
      <c r="L35" s="38">
        <f t="shared" si="1"/>
        <v>19.756666666666668</v>
      </c>
      <c r="M35" s="38">
        <f t="shared" si="2"/>
        <v>53.243333333333332</v>
      </c>
      <c r="N35" s="53">
        <v>65.69</v>
      </c>
      <c r="O35" s="38">
        <f t="shared" si="3"/>
        <v>19.756666666666668</v>
      </c>
      <c r="P35" s="38">
        <f t="shared" si="4"/>
        <v>45.93333333333333</v>
      </c>
      <c r="Q35" s="38"/>
      <c r="R35" s="38"/>
      <c r="S35" s="38"/>
      <c r="T35" s="38"/>
      <c r="U35" s="38"/>
      <c r="V35" s="38"/>
      <c r="W35" s="38"/>
      <c r="X35" s="38"/>
      <c r="Y35" s="9"/>
    </row>
    <row r="36" spans="1:25" hidden="1" x14ac:dyDescent="0.25">
      <c r="A36" s="5" t="s">
        <v>24</v>
      </c>
      <c r="B36" s="9" t="s">
        <v>31</v>
      </c>
      <c r="C36" s="9" t="s">
        <v>35</v>
      </c>
      <c r="D36" s="9" t="s">
        <v>498</v>
      </c>
      <c r="E36" s="22">
        <v>45890</v>
      </c>
      <c r="F36" s="9">
        <v>1</v>
      </c>
      <c r="G36" s="10" t="s">
        <v>60</v>
      </c>
      <c r="H36" s="9" t="s">
        <v>85</v>
      </c>
      <c r="I36" s="9">
        <v>63</v>
      </c>
      <c r="J36" s="9" t="s">
        <v>221</v>
      </c>
      <c r="K36" s="38">
        <f t="shared" si="0"/>
        <v>63</v>
      </c>
      <c r="L36" s="38">
        <f t="shared" si="1"/>
        <v>19.756666666666668</v>
      </c>
      <c r="M36" s="38">
        <f t="shared" si="2"/>
        <v>43.243333333333332</v>
      </c>
      <c r="N36" s="53">
        <v>58.7</v>
      </c>
      <c r="O36" s="38">
        <f t="shared" si="3"/>
        <v>19.756666666666668</v>
      </c>
      <c r="P36" s="38">
        <f t="shared" si="4"/>
        <v>38.943333333333335</v>
      </c>
      <c r="Q36" s="38"/>
      <c r="R36" s="38"/>
      <c r="S36" s="38"/>
      <c r="T36" s="38"/>
      <c r="U36" s="38"/>
      <c r="V36" s="38"/>
      <c r="W36" s="38"/>
      <c r="X36" s="38"/>
      <c r="Y36" s="9"/>
    </row>
    <row r="37" spans="1:25" hidden="1" x14ac:dyDescent="0.25">
      <c r="A37" s="5" t="s">
        <v>24</v>
      </c>
      <c r="B37" s="9" t="s">
        <v>27</v>
      </c>
      <c r="C37" s="9" t="s">
        <v>34</v>
      </c>
      <c r="D37" s="9" t="s">
        <v>561</v>
      </c>
      <c r="E37" s="22">
        <v>45888</v>
      </c>
      <c r="F37" s="9">
        <v>1</v>
      </c>
      <c r="G37" s="10" t="s">
        <v>59</v>
      </c>
      <c r="H37" s="9" t="s">
        <v>85</v>
      </c>
      <c r="I37" s="9">
        <v>64</v>
      </c>
      <c r="J37" s="9" t="s">
        <v>162</v>
      </c>
      <c r="K37" s="38">
        <f t="shared" si="0"/>
        <v>64</v>
      </c>
      <c r="L37" s="38">
        <f t="shared" si="1"/>
        <v>19.756666666666668</v>
      </c>
      <c r="M37" s="38">
        <f t="shared" si="2"/>
        <v>44.243333333333332</v>
      </c>
      <c r="N37" s="53">
        <v>58.96</v>
      </c>
      <c r="O37" s="38">
        <f t="shared" si="3"/>
        <v>19.756666666666668</v>
      </c>
      <c r="P37" s="38">
        <f t="shared" si="4"/>
        <v>39.203333333333333</v>
      </c>
      <c r="Q37" s="38"/>
      <c r="R37" s="38"/>
      <c r="S37" s="38"/>
      <c r="T37" s="38"/>
      <c r="U37" s="38"/>
      <c r="V37" s="38"/>
      <c r="W37" s="38"/>
      <c r="X37" s="38"/>
      <c r="Y37" s="9"/>
    </row>
    <row r="38" spans="1:25" hidden="1" x14ac:dyDescent="0.25">
      <c r="A38" s="5" t="s">
        <v>24</v>
      </c>
      <c r="B38" s="9" t="s">
        <v>28</v>
      </c>
      <c r="C38" s="9" t="s">
        <v>34</v>
      </c>
      <c r="D38" s="9" t="s">
        <v>545</v>
      </c>
      <c r="E38" s="22">
        <v>45889</v>
      </c>
      <c r="F38" s="9">
        <v>1</v>
      </c>
      <c r="G38" s="10" t="s">
        <v>59</v>
      </c>
      <c r="H38" s="9" t="s">
        <v>85</v>
      </c>
      <c r="I38" s="9">
        <v>62</v>
      </c>
      <c r="J38" s="9" t="s">
        <v>177</v>
      </c>
      <c r="K38" s="38">
        <f t="shared" si="0"/>
        <v>62</v>
      </c>
      <c r="L38" s="38">
        <f t="shared" si="1"/>
        <v>19.756666666666668</v>
      </c>
      <c r="M38" s="38">
        <f t="shared" si="2"/>
        <v>42.243333333333332</v>
      </c>
      <c r="N38" s="53">
        <v>59.73</v>
      </c>
      <c r="O38" s="38">
        <f t="shared" si="3"/>
        <v>19.756666666666668</v>
      </c>
      <c r="P38" s="38">
        <f t="shared" si="4"/>
        <v>39.973333333333329</v>
      </c>
      <c r="Q38" s="38"/>
      <c r="R38" s="38"/>
      <c r="S38" s="38"/>
      <c r="T38" s="38"/>
      <c r="U38" s="38"/>
      <c r="V38" s="38"/>
      <c r="W38" s="38"/>
      <c r="X38" s="38"/>
      <c r="Y38" s="9"/>
    </row>
    <row r="39" spans="1:25" hidden="1" x14ac:dyDescent="0.25">
      <c r="A39" s="5" t="s">
        <v>24</v>
      </c>
      <c r="B39" s="9" t="s">
        <v>29</v>
      </c>
      <c r="C39" s="9" t="s">
        <v>34</v>
      </c>
      <c r="D39" s="9" t="s">
        <v>529</v>
      </c>
      <c r="E39" s="22">
        <v>45888</v>
      </c>
      <c r="F39" s="9">
        <v>1</v>
      </c>
      <c r="G39" s="10" t="s">
        <v>59</v>
      </c>
      <c r="H39" s="9" t="s">
        <v>85</v>
      </c>
      <c r="I39" s="9">
        <v>62</v>
      </c>
      <c r="J39" s="9" t="s">
        <v>194</v>
      </c>
      <c r="K39" s="38">
        <f t="shared" si="0"/>
        <v>62</v>
      </c>
      <c r="L39" s="38">
        <f t="shared" si="1"/>
        <v>19.756666666666668</v>
      </c>
      <c r="M39" s="38">
        <f t="shared" si="2"/>
        <v>42.243333333333332</v>
      </c>
      <c r="N39" s="53">
        <v>59.4</v>
      </c>
      <c r="O39" s="38">
        <f t="shared" si="3"/>
        <v>19.756666666666668</v>
      </c>
      <c r="P39" s="38">
        <f t="shared" si="4"/>
        <v>39.643333333333331</v>
      </c>
      <c r="Q39" s="38"/>
      <c r="R39" s="38"/>
      <c r="S39" s="38"/>
      <c r="T39" s="38"/>
      <c r="U39" s="38"/>
      <c r="V39" s="38"/>
      <c r="W39" s="38"/>
      <c r="X39" s="38"/>
      <c r="Y39" s="9"/>
    </row>
    <row r="40" spans="1:25" hidden="1" x14ac:dyDescent="0.25">
      <c r="A40" s="5" t="s">
        <v>24</v>
      </c>
      <c r="B40" s="9" t="s">
        <v>30</v>
      </c>
      <c r="C40" s="9" t="s">
        <v>34</v>
      </c>
      <c r="D40" s="9" t="s">
        <v>513</v>
      </c>
      <c r="E40" s="22">
        <v>45889</v>
      </c>
      <c r="F40" s="9">
        <v>1</v>
      </c>
      <c r="G40" s="10" t="s">
        <v>59</v>
      </c>
      <c r="H40" s="9" t="s">
        <v>74</v>
      </c>
      <c r="I40" s="9">
        <v>82</v>
      </c>
      <c r="J40" s="9" t="s">
        <v>208</v>
      </c>
      <c r="K40" s="38">
        <f t="shared" si="0"/>
        <v>82</v>
      </c>
      <c r="L40" s="38">
        <f t="shared" si="1"/>
        <v>19.756666666666668</v>
      </c>
      <c r="M40" s="38">
        <f t="shared" si="2"/>
        <v>62.243333333333332</v>
      </c>
      <c r="N40" s="53">
        <v>77.98</v>
      </c>
      <c r="O40" s="38">
        <f t="shared" si="3"/>
        <v>19.756666666666668</v>
      </c>
      <c r="P40" s="38">
        <f t="shared" si="4"/>
        <v>58.223333333333336</v>
      </c>
      <c r="Q40" s="38"/>
      <c r="R40" s="38"/>
      <c r="S40" s="38"/>
      <c r="T40" s="38"/>
      <c r="U40" s="38"/>
      <c r="V40" s="38"/>
      <c r="W40" s="38"/>
      <c r="X40" s="38"/>
      <c r="Y40" s="9"/>
    </row>
    <row r="41" spans="1:25" hidden="1" x14ac:dyDescent="0.25">
      <c r="A41" s="5" t="s">
        <v>24</v>
      </c>
      <c r="B41" s="9" t="s">
        <v>31</v>
      </c>
      <c r="C41" s="9" t="s">
        <v>34</v>
      </c>
      <c r="D41" s="9" t="s">
        <v>497</v>
      </c>
      <c r="E41" s="22">
        <v>45890</v>
      </c>
      <c r="F41" s="9">
        <v>1</v>
      </c>
      <c r="G41" s="10" t="s">
        <v>59</v>
      </c>
      <c r="H41" s="9" t="s">
        <v>85</v>
      </c>
      <c r="I41" s="9">
        <v>65</v>
      </c>
      <c r="J41" s="9" t="s">
        <v>220</v>
      </c>
      <c r="K41" s="38">
        <f t="shared" si="0"/>
        <v>65</v>
      </c>
      <c r="L41" s="38">
        <f t="shared" si="1"/>
        <v>19.756666666666668</v>
      </c>
      <c r="M41" s="38">
        <f t="shared" si="2"/>
        <v>45.243333333333332</v>
      </c>
      <c r="N41" s="53">
        <v>59.31</v>
      </c>
      <c r="O41" s="38">
        <f t="shared" si="3"/>
        <v>19.756666666666668</v>
      </c>
      <c r="P41" s="38">
        <f t="shared" si="4"/>
        <v>39.553333333333335</v>
      </c>
      <c r="Q41" s="38"/>
      <c r="R41" s="38"/>
      <c r="S41" s="38"/>
      <c r="T41" s="38"/>
      <c r="U41" s="38"/>
      <c r="V41" s="38"/>
      <c r="W41" s="38"/>
      <c r="X41" s="38"/>
      <c r="Y41" s="9"/>
    </row>
    <row r="42" spans="1:25" hidden="1" x14ac:dyDescent="0.25">
      <c r="A42" s="5" t="s">
        <v>24</v>
      </c>
      <c r="B42" s="9" t="s">
        <v>27</v>
      </c>
      <c r="C42" s="9" t="s">
        <v>33</v>
      </c>
      <c r="D42" s="9" t="s">
        <v>560</v>
      </c>
      <c r="E42" s="22">
        <v>45888</v>
      </c>
      <c r="F42" s="9">
        <v>1</v>
      </c>
      <c r="G42" s="10" t="s">
        <v>58</v>
      </c>
      <c r="H42" s="9" t="s">
        <v>85</v>
      </c>
      <c r="I42" s="9">
        <v>66</v>
      </c>
      <c r="J42" s="9" t="s">
        <v>162</v>
      </c>
      <c r="K42" s="38">
        <f t="shared" si="0"/>
        <v>66</v>
      </c>
      <c r="L42" s="38">
        <f t="shared" si="1"/>
        <v>19.756666666666668</v>
      </c>
      <c r="M42" s="38">
        <f t="shared" si="2"/>
        <v>46.243333333333332</v>
      </c>
      <c r="N42" s="53">
        <v>63.06</v>
      </c>
      <c r="O42" s="38">
        <f t="shared" si="3"/>
        <v>19.756666666666668</v>
      </c>
      <c r="P42" s="38">
        <f t="shared" si="4"/>
        <v>43.303333333333335</v>
      </c>
      <c r="Q42" s="38"/>
      <c r="R42" s="38"/>
      <c r="S42" s="38"/>
      <c r="T42" s="38"/>
      <c r="U42" s="38"/>
      <c r="V42" s="38"/>
      <c r="W42" s="38"/>
      <c r="X42" s="38"/>
      <c r="Y42" s="9"/>
    </row>
    <row r="43" spans="1:25" hidden="1" x14ac:dyDescent="0.25">
      <c r="A43" s="5" t="s">
        <v>24</v>
      </c>
      <c r="B43" s="9" t="s">
        <v>28</v>
      </c>
      <c r="C43" s="9" t="s">
        <v>33</v>
      </c>
      <c r="D43" s="9" t="s">
        <v>544</v>
      </c>
      <c r="E43" s="22">
        <v>45889</v>
      </c>
      <c r="F43" s="9">
        <v>1</v>
      </c>
      <c r="G43" s="10" t="s">
        <v>58</v>
      </c>
      <c r="H43" s="9" t="s">
        <v>85</v>
      </c>
      <c r="I43" s="9">
        <v>66</v>
      </c>
      <c r="J43" s="9" t="s">
        <v>177</v>
      </c>
      <c r="K43" s="38">
        <f t="shared" si="0"/>
        <v>66</v>
      </c>
      <c r="L43" s="38">
        <f t="shared" si="1"/>
        <v>19.756666666666668</v>
      </c>
      <c r="M43" s="38">
        <f t="shared" si="2"/>
        <v>46.243333333333332</v>
      </c>
      <c r="N43" s="53">
        <v>63.47</v>
      </c>
      <c r="O43" s="38">
        <f t="shared" si="3"/>
        <v>19.756666666666668</v>
      </c>
      <c r="P43" s="38">
        <f t="shared" si="4"/>
        <v>43.713333333333331</v>
      </c>
      <c r="Q43" s="38"/>
      <c r="R43" s="38"/>
      <c r="S43" s="38"/>
      <c r="T43" s="38"/>
      <c r="U43" s="38"/>
      <c r="V43" s="38"/>
      <c r="W43" s="38"/>
      <c r="X43" s="38"/>
      <c r="Y43" s="9"/>
    </row>
    <row r="44" spans="1:25" hidden="1" x14ac:dyDescent="0.25">
      <c r="A44" s="5" t="s">
        <v>24</v>
      </c>
      <c r="B44" s="9" t="s">
        <v>29</v>
      </c>
      <c r="C44" s="9" t="s">
        <v>33</v>
      </c>
      <c r="D44" s="9" t="s">
        <v>528</v>
      </c>
      <c r="E44" s="22">
        <v>45888</v>
      </c>
      <c r="F44" s="9">
        <v>1</v>
      </c>
      <c r="G44" s="10" t="s">
        <v>58</v>
      </c>
      <c r="H44" s="9" t="s">
        <v>85</v>
      </c>
      <c r="I44" s="9">
        <v>71</v>
      </c>
      <c r="J44" s="9" t="s">
        <v>193</v>
      </c>
      <c r="K44" s="38">
        <f t="shared" si="0"/>
        <v>71</v>
      </c>
      <c r="L44" s="38">
        <f t="shared" si="1"/>
        <v>19.756666666666668</v>
      </c>
      <c r="M44" s="38">
        <f t="shared" si="2"/>
        <v>51.243333333333332</v>
      </c>
      <c r="N44" s="53">
        <v>64.599999999999994</v>
      </c>
      <c r="O44" s="38">
        <f t="shared" si="3"/>
        <v>19.756666666666668</v>
      </c>
      <c r="P44" s="38">
        <f t="shared" si="4"/>
        <v>44.843333333333327</v>
      </c>
      <c r="Q44" s="38"/>
      <c r="R44" s="38"/>
      <c r="S44" s="38"/>
      <c r="T44" s="38"/>
      <c r="U44" s="38"/>
      <c r="V44" s="38"/>
      <c r="W44" s="38"/>
      <c r="X44" s="38"/>
      <c r="Y44" s="9"/>
    </row>
    <row r="45" spans="1:25" ht="30" hidden="1" x14ac:dyDescent="0.25">
      <c r="A45" s="5" t="s">
        <v>24</v>
      </c>
      <c r="B45" s="9" t="s">
        <v>30</v>
      </c>
      <c r="C45" s="9" t="s">
        <v>33</v>
      </c>
      <c r="D45" s="9" t="s">
        <v>512</v>
      </c>
      <c r="E45" s="22">
        <v>45889</v>
      </c>
      <c r="F45" s="9">
        <v>1</v>
      </c>
      <c r="G45" s="10" t="s">
        <v>58</v>
      </c>
      <c r="H45" s="9" t="s">
        <v>74</v>
      </c>
      <c r="I45" s="9">
        <v>130</v>
      </c>
      <c r="J45" s="9" t="s">
        <v>207</v>
      </c>
      <c r="K45" s="38">
        <f t="shared" si="0"/>
        <v>130</v>
      </c>
      <c r="L45" s="38">
        <f t="shared" si="1"/>
        <v>19.756666666666668</v>
      </c>
      <c r="M45" s="38">
        <f t="shared" si="2"/>
        <v>110.24333333333334</v>
      </c>
      <c r="N45" s="53">
        <v>124.46</v>
      </c>
      <c r="O45" s="38">
        <f t="shared" si="3"/>
        <v>19.756666666666668</v>
      </c>
      <c r="P45" s="38">
        <f t="shared" si="4"/>
        <v>104.70333333333332</v>
      </c>
      <c r="Q45" s="38"/>
      <c r="R45" s="38"/>
      <c r="S45" s="38"/>
      <c r="T45" s="38"/>
      <c r="U45" s="38"/>
      <c r="V45" s="38"/>
      <c r="W45" s="38"/>
      <c r="X45" s="38"/>
      <c r="Y45" s="9"/>
    </row>
    <row r="46" spans="1:25" hidden="1" x14ac:dyDescent="0.25">
      <c r="A46" s="5" t="s">
        <v>24</v>
      </c>
      <c r="B46" s="9" t="s">
        <v>31</v>
      </c>
      <c r="C46" s="9" t="s">
        <v>33</v>
      </c>
      <c r="D46" s="9" t="s">
        <v>496</v>
      </c>
      <c r="E46" s="22">
        <v>45890</v>
      </c>
      <c r="F46" s="9">
        <v>1</v>
      </c>
      <c r="G46" s="10" t="s">
        <v>58</v>
      </c>
      <c r="H46" s="9" t="s">
        <v>85</v>
      </c>
      <c r="I46" s="9">
        <v>69</v>
      </c>
      <c r="J46" s="9" t="s">
        <v>220</v>
      </c>
      <c r="K46" s="38">
        <f t="shared" si="0"/>
        <v>69</v>
      </c>
      <c r="L46" s="38">
        <f t="shared" si="1"/>
        <v>19.756666666666668</v>
      </c>
      <c r="M46" s="38">
        <f t="shared" si="2"/>
        <v>49.243333333333332</v>
      </c>
      <c r="N46" s="53">
        <v>63.74</v>
      </c>
      <c r="O46" s="38">
        <f t="shared" si="3"/>
        <v>19.756666666666668</v>
      </c>
      <c r="P46" s="38">
        <f t="shared" si="4"/>
        <v>43.983333333333334</v>
      </c>
      <c r="Q46" s="38"/>
      <c r="R46" s="38"/>
      <c r="S46" s="38"/>
      <c r="T46" s="38"/>
      <c r="U46" s="38"/>
      <c r="V46" s="38"/>
      <c r="W46" s="38"/>
      <c r="X46" s="38"/>
      <c r="Y46" s="9"/>
    </row>
    <row r="47" spans="1:25" hidden="1" x14ac:dyDescent="0.25">
      <c r="A47" s="5" t="s">
        <v>24</v>
      </c>
      <c r="B47" s="9" t="s">
        <v>27</v>
      </c>
      <c r="C47" s="9" t="s">
        <v>42</v>
      </c>
      <c r="D47" s="9" t="s">
        <v>569</v>
      </c>
      <c r="E47" s="22">
        <v>45888</v>
      </c>
      <c r="F47" s="9">
        <v>1</v>
      </c>
      <c r="G47" s="10" t="s">
        <v>67</v>
      </c>
      <c r="H47" s="9" t="s">
        <v>74</v>
      </c>
      <c r="I47" s="9">
        <v>68</v>
      </c>
      <c r="J47" s="9" t="s">
        <v>170</v>
      </c>
      <c r="K47" s="38">
        <f t="shared" si="0"/>
        <v>68</v>
      </c>
      <c r="L47" s="38">
        <f t="shared" si="1"/>
        <v>19.756666666666668</v>
      </c>
      <c r="M47" s="38">
        <f t="shared" si="2"/>
        <v>48.243333333333332</v>
      </c>
      <c r="N47" s="53">
        <v>65.88</v>
      </c>
      <c r="O47" s="38">
        <f t="shared" si="3"/>
        <v>19.756666666666668</v>
      </c>
      <c r="P47" s="38">
        <f t="shared" si="4"/>
        <v>46.123333333333328</v>
      </c>
      <c r="Q47" s="38"/>
      <c r="R47" s="38"/>
      <c r="S47" s="38"/>
      <c r="T47" s="38"/>
      <c r="U47" s="38"/>
      <c r="V47" s="38"/>
      <c r="W47" s="38"/>
      <c r="X47" s="38"/>
      <c r="Y47" s="9"/>
    </row>
    <row r="48" spans="1:25" ht="30" hidden="1" x14ac:dyDescent="0.25">
      <c r="A48" s="5" t="s">
        <v>24</v>
      </c>
      <c r="B48" s="9" t="s">
        <v>28</v>
      </c>
      <c r="C48" s="9" t="s">
        <v>42</v>
      </c>
      <c r="D48" s="9" t="s">
        <v>553</v>
      </c>
      <c r="E48" s="22">
        <v>45889</v>
      </c>
      <c r="F48" s="9">
        <v>1</v>
      </c>
      <c r="G48" s="10" t="s">
        <v>67</v>
      </c>
      <c r="H48" s="9" t="s">
        <v>71</v>
      </c>
      <c r="I48" s="9">
        <v>72</v>
      </c>
      <c r="J48" s="9" t="s">
        <v>186</v>
      </c>
      <c r="K48" s="38">
        <f t="shared" si="0"/>
        <v>72</v>
      </c>
      <c r="L48" s="38">
        <f t="shared" si="1"/>
        <v>19.756666666666668</v>
      </c>
      <c r="M48" s="38">
        <f t="shared" si="2"/>
        <v>52.243333333333332</v>
      </c>
      <c r="N48" s="53">
        <v>68.59</v>
      </c>
      <c r="O48" s="38">
        <f t="shared" si="3"/>
        <v>19.756666666666668</v>
      </c>
      <c r="P48" s="38">
        <f t="shared" si="4"/>
        <v>48.833333333333336</v>
      </c>
      <c r="Q48" s="38"/>
      <c r="R48" s="38"/>
      <c r="S48" s="38"/>
      <c r="T48" s="38"/>
      <c r="U48" s="38"/>
      <c r="V48" s="38"/>
      <c r="W48" s="38"/>
      <c r="X48" s="38"/>
      <c r="Y48" s="9"/>
    </row>
    <row r="49" spans="1:25" ht="30" hidden="1" x14ac:dyDescent="0.25">
      <c r="A49" s="5" t="s">
        <v>24</v>
      </c>
      <c r="B49" s="9" t="s">
        <v>29</v>
      </c>
      <c r="C49" s="9" t="s">
        <v>42</v>
      </c>
      <c r="D49" s="9" t="s">
        <v>537</v>
      </c>
      <c r="E49" s="22">
        <v>45888</v>
      </c>
      <c r="F49" s="9">
        <v>1</v>
      </c>
      <c r="G49" s="10" t="s">
        <v>67</v>
      </c>
      <c r="H49" s="57"/>
      <c r="I49" s="37"/>
      <c r="J49" s="9" t="s">
        <v>197</v>
      </c>
      <c r="K49" s="39"/>
      <c r="L49" s="39"/>
      <c r="M49" s="39"/>
      <c r="N49" s="39"/>
      <c r="O49" s="39"/>
      <c r="P49" s="39"/>
      <c r="Q49" s="39"/>
      <c r="R49" s="39"/>
      <c r="S49" s="39"/>
      <c r="T49" s="39"/>
      <c r="U49" s="39"/>
      <c r="V49" s="39"/>
      <c r="W49" s="38"/>
      <c r="X49" s="39"/>
      <c r="Y49" s="9" t="s">
        <v>381</v>
      </c>
    </row>
    <row r="50" spans="1:25" hidden="1" x14ac:dyDescent="0.25">
      <c r="A50" s="5" t="s">
        <v>24</v>
      </c>
      <c r="B50" s="9" t="s">
        <v>30</v>
      </c>
      <c r="C50" s="9" t="s">
        <v>42</v>
      </c>
      <c r="D50" s="9" t="s">
        <v>521</v>
      </c>
      <c r="E50" s="22">
        <v>45889</v>
      </c>
      <c r="F50" s="9">
        <v>1</v>
      </c>
      <c r="G50" s="10" t="s">
        <v>67</v>
      </c>
      <c r="H50" s="9" t="s">
        <v>74</v>
      </c>
      <c r="I50" s="9">
        <v>49</v>
      </c>
      <c r="J50" s="9" t="s">
        <v>215</v>
      </c>
      <c r="K50" s="38">
        <f>I50</f>
        <v>49</v>
      </c>
      <c r="L50" s="38">
        <f>AVERAGE(19.9,19.77,19.6)</f>
        <v>19.756666666666668</v>
      </c>
      <c r="M50" s="38">
        <f>K50-L50</f>
        <v>29.243333333333332</v>
      </c>
      <c r="N50" s="53">
        <v>44.81</v>
      </c>
      <c r="O50" s="38">
        <f t="shared" ref="O50:O113" si="5">AVERAGE(19.9,19.77,19.6)</f>
        <v>19.756666666666668</v>
      </c>
      <c r="P50" s="38">
        <f t="shared" ref="P50:P113" si="6">N50-O50</f>
        <v>25.053333333333335</v>
      </c>
      <c r="Q50" s="38"/>
      <c r="R50" s="38"/>
      <c r="S50" s="38"/>
      <c r="T50" s="38"/>
      <c r="U50" s="38"/>
      <c r="V50" s="38"/>
      <c r="W50" s="38"/>
      <c r="X50" s="38"/>
      <c r="Y50" s="9"/>
    </row>
    <row r="51" spans="1:25" hidden="1" x14ac:dyDescent="0.25">
      <c r="A51" s="5" t="s">
        <v>24</v>
      </c>
      <c r="B51" s="9" t="s">
        <v>31</v>
      </c>
      <c r="C51" s="9" t="s">
        <v>42</v>
      </c>
      <c r="D51" s="9" t="s">
        <v>505</v>
      </c>
      <c r="E51" s="22">
        <v>45890</v>
      </c>
      <c r="F51" s="9">
        <v>1</v>
      </c>
      <c r="G51" s="10" t="s">
        <v>67</v>
      </c>
      <c r="H51" s="9" t="s">
        <v>85</v>
      </c>
      <c r="I51" s="9">
        <v>57</v>
      </c>
      <c r="J51" s="9" t="s">
        <v>222</v>
      </c>
      <c r="K51" s="38">
        <f>I51</f>
        <v>57</v>
      </c>
      <c r="L51" s="38">
        <f>AVERAGE(19.9,19.77,19.6)</f>
        <v>19.756666666666668</v>
      </c>
      <c r="M51" s="38">
        <f>K51-L51</f>
        <v>37.243333333333332</v>
      </c>
      <c r="N51" s="53">
        <v>53.29</v>
      </c>
      <c r="O51" s="38">
        <f t="shared" si="5"/>
        <v>19.756666666666668</v>
      </c>
      <c r="P51" s="38">
        <f t="shared" si="6"/>
        <v>33.533333333333331</v>
      </c>
      <c r="Q51" s="38"/>
      <c r="R51" s="38"/>
      <c r="S51" s="38"/>
      <c r="T51" s="38"/>
      <c r="U51" s="38"/>
      <c r="V51" s="38">
        <v>1.65</v>
      </c>
      <c r="W51" s="38"/>
      <c r="X51" s="38"/>
      <c r="Y51" s="9"/>
    </row>
    <row r="52" spans="1:25" ht="60" hidden="1" x14ac:dyDescent="0.25">
      <c r="A52" s="5" t="s">
        <v>24</v>
      </c>
      <c r="B52" s="9" t="s">
        <v>27</v>
      </c>
      <c r="C52" s="9" t="s">
        <v>43</v>
      </c>
      <c r="D52" s="9" t="s">
        <v>570</v>
      </c>
      <c r="E52" s="22">
        <v>45888</v>
      </c>
      <c r="F52" s="37"/>
      <c r="G52" s="10" t="s">
        <v>68</v>
      </c>
      <c r="H52" s="9" t="s">
        <v>71</v>
      </c>
      <c r="I52" s="9">
        <v>222</v>
      </c>
      <c r="J52" s="9" t="s">
        <v>171</v>
      </c>
      <c r="K52" s="38">
        <f>I52</f>
        <v>222</v>
      </c>
      <c r="L52" s="38">
        <f>AVERAGE(19.9,19.77,19.6)</f>
        <v>19.756666666666668</v>
      </c>
      <c r="M52" s="38">
        <f>K52-L52</f>
        <v>202.24333333333334</v>
      </c>
      <c r="N52" s="53">
        <v>217.76</v>
      </c>
      <c r="O52" s="38">
        <f t="shared" si="5"/>
        <v>19.756666666666668</v>
      </c>
      <c r="P52" s="38">
        <f t="shared" si="6"/>
        <v>198.00333333333333</v>
      </c>
      <c r="Q52" s="38" t="s">
        <v>373</v>
      </c>
      <c r="R52" s="38"/>
      <c r="S52" s="38"/>
      <c r="T52" s="38"/>
      <c r="U52" s="38"/>
      <c r="V52" s="38">
        <v>1.57</v>
      </c>
      <c r="W52" s="38"/>
      <c r="X52" s="38"/>
      <c r="Y52" s="9" t="s">
        <v>379</v>
      </c>
    </row>
    <row r="53" spans="1:25" ht="30" hidden="1" x14ac:dyDescent="0.25">
      <c r="A53" s="5" t="s">
        <v>24</v>
      </c>
      <c r="B53" s="9" t="s">
        <v>29</v>
      </c>
      <c r="C53" s="9" t="s">
        <v>43</v>
      </c>
      <c r="D53" s="9" t="s">
        <v>538</v>
      </c>
      <c r="E53" s="22">
        <v>45888</v>
      </c>
      <c r="F53" s="9">
        <v>4</v>
      </c>
      <c r="G53" s="10" t="s">
        <v>68</v>
      </c>
      <c r="H53" s="9" t="s">
        <v>74</v>
      </c>
      <c r="I53" s="9">
        <v>130</v>
      </c>
      <c r="J53" s="9" t="s">
        <v>198</v>
      </c>
      <c r="K53" s="38">
        <f>I53</f>
        <v>130</v>
      </c>
      <c r="L53" s="38">
        <f>AVERAGE(19.9,19.77,19.6)</f>
        <v>19.756666666666668</v>
      </c>
      <c r="M53" s="38">
        <f>K53-L53</f>
        <v>110.24333333333334</v>
      </c>
      <c r="N53" s="53">
        <v>121.07</v>
      </c>
      <c r="O53" s="38">
        <f t="shared" si="5"/>
        <v>19.756666666666668</v>
      </c>
      <c r="P53" s="38">
        <f t="shared" si="6"/>
        <v>101.31333333333333</v>
      </c>
      <c r="Q53" s="38">
        <v>3.5</v>
      </c>
      <c r="R53" s="38"/>
      <c r="S53" s="38"/>
      <c r="T53" s="38"/>
      <c r="U53" s="38"/>
      <c r="V53" s="38">
        <v>1.66</v>
      </c>
      <c r="W53" s="38"/>
      <c r="X53" s="38"/>
      <c r="Y53" s="9"/>
    </row>
    <row r="54" spans="1:25" hidden="1" x14ac:dyDescent="0.25">
      <c r="A54" s="5" t="s">
        <v>24</v>
      </c>
      <c r="B54" s="9" t="s">
        <v>30</v>
      </c>
      <c r="C54" s="9" t="s">
        <v>43</v>
      </c>
      <c r="D54" s="9" t="s">
        <v>522</v>
      </c>
      <c r="E54" s="22">
        <v>45889</v>
      </c>
      <c r="F54" s="9">
        <v>5</v>
      </c>
      <c r="G54" s="10" t="s">
        <v>68</v>
      </c>
      <c r="H54" s="9" t="s">
        <v>74</v>
      </c>
      <c r="I54" s="37"/>
      <c r="J54" s="9" t="s">
        <v>378</v>
      </c>
      <c r="K54" s="39"/>
      <c r="L54" s="39"/>
      <c r="M54" s="39"/>
      <c r="N54" s="53">
        <v>105.82</v>
      </c>
      <c r="O54" s="38">
        <f t="shared" si="5"/>
        <v>19.756666666666668</v>
      </c>
      <c r="P54" s="38">
        <f t="shared" si="6"/>
        <v>86.063333333333333</v>
      </c>
      <c r="Q54" s="38">
        <v>4.5</v>
      </c>
      <c r="R54" s="38"/>
      <c r="S54" s="38"/>
      <c r="T54" s="38"/>
      <c r="U54" s="38"/>
      <c r="V54" s="38">
        <v>1.66</v>
      </c>
      <c r="W54" s="38"/>
      <c r="X54" s="38"/>
      <c r="Y54" s="9" t="s">
        <v>386</v>
      </c>
    </row>
    <row r="55" spans="1:25" hidden="1" x14ac:dyDescent="0.25">
      <c r="A55" s="5" t="s">
        <v>24</v>
      </c>
      <c r="B55" s="9" t="s">
        <v>31</v>
      </c>
      <c r="C55" s="9" t="s">
        <v>43</v>
      </c>
      <c r="D55" s="9" t="s">
        <v>506</v>
      </c>
      <c r="E55" s="22">
        <v>45890</v>
      </c>
      <c r="F55" s="37"/>
      <c r="G55" s="10" t="s">
        <v>68</v>
      </c>
      <c r="H55" s="9" t="s">
        <v>85</v>
      </c>
      <c r="I55" s="9">
        <v>167</v>
      </c>
      <c r="J55" s="9" t="s">
        <v>223</v>
      </c>
      <c r="K55" s="38">
        <f t="shared" ref="K55:K118" si="7">I55</f>
        <v>167</v>
      </c>
      <c r="L55" s="38">
        <f t="shared" ref="L55:L118" si="8">AVERAGE(19.9,19.77,19.6)</f>
        <v>19.756666666666668</v>
      </c>
      <c r="M55" s="38">
        <f t="shared" ref="M55:M118" si="9">K55-L55</f>
        <v>147.24333333333334</v>
      </c>
      <c r="N55" s="53">
        <v>148.71</v>
      </c>
      <c r="O55" s="38">
        <f t="shared" si="5"/>
        <v>19.756666666666668</v>
      </c>
      <c r="P55" s="38">
        <f t="shared" si="6"/>
        <v>128.95333333333335</v>
      </c>
      <c r="Q55" s="38">
        <v>4.5</v>
      </c>
      <c r="R55" s="38"/>
      <c r="S55" s="38"/>
      <c r="T55" s="38"/>
      <c r="U55" s="38"/>
      <c r="V55" s="38">
        <v>2.54</v>
      </c>
      <c r="W55" s="38"/>
      <c r="X55" s="38"/>
      <c r="Y55" s="9" t="s">
        <v>382</v>
      </c>
    </row>
    <row r="56" spans="1:25" ht="30" hidden="1" x14ac:dyDescent="0.25">
      <c r="A56" s="5" t="s">
        <v>24</v>
      </c>
      <c r="B56" s="9" t="s">
        <v>28</v>
      </c>
      <c r="C56" s="9" t="s">
        <v>44</v>
      </c>
      <c r="D56" s="9" t="s">
        <v>554</v>
      </c>
      <c r="E56" s="22">
        <v>45889</v>
      </c>
      <c r="F56" s="9">
        <v>8</v>
      </c>
      <c r="G56" s="10" t="s">
        <v>68</v>
      </c>
      <c r="H56" s="9" t="s">
        <v>71</v>
      </c>
      <c r="I56" s="9">
        <v>172</v>
      </c>
      <c r="J56" s="9" t="s">
        <v>186</v>
      </c>
      <c r="K56" s="38">
        <f t="shared" si="7"/>
        <v>172</v>
      </c>
      <c r="L56" s="38">
        <f t="shared" si="8"/>
        <v>19.756666666666668</v>
      </c>
      <c r="M56" s="38">
        <f t="shared" si="9"/>
        <v>152.24333333333334</v>
      </c>
      <c r="N56" s="53">
        <v>166.17</v>
      </c>
      <c r="O56" s="38">
        <f t="shared" si="5"/>
        <v>19.756666666666668</v>
      </c>
      <c r="P56" s="38">
        <f t="shared" si="6"/>
        <v>146.41333333333333</v>
      </c>
      <c r="Q56" s="38">
        <v>4.5</v>
      </c>
      <c r="R56" s="38"/>
      <c r="S56" s="38"/>
      <c r="T56" s="38"/>
      <c r="U56" s="38"/>
      <c r="V56" s="38">
        <v>1.67</v>
      </c>
      <c r="W56" s="38"/>
      <c r="X56" s="38"/>
      <c r="Y56" s="9"/>
    </row>
    <row r="57" spans="1:25" ht="30" hidden="1" x14ac:dyDescent="0.25">
      <c r="A57" s="5" t="s">
        <v>24</v>
      </c>
      <c r="B57" s="9" t="s">
        <v>28</v>
      </c>
      <c r="C57" s="9" t="s">
        <v>45</v>
      </c>
      <c r="D57" s="9" t="s">
        <v>554</v>
      </c>
      <c r="E57" s="22">
        <v>45890</v>
      </c>
      <c r="F57" s="9">
        <v>4</v>
      </c>
      <c r="G57" s="10" t="s">
        <v>68</v>
      </c>
      <c r="H57" s="9" t="s">
        <v>71</v>
      </c>
      <c r="I57" s="9">
        <v>131</v>
      </c>
      <c r="J57" s="9" t="s">
        <v>186</v>
      </c>
      <c r="K57" s="38">
        <f t="shared" si="7"/>
        <v>131</v>
      </c>
      <c r="L57" s="38">
        <f t="shared" si="8"/>
        <v>19.756666666666668</v>
      </c>
      <c r="M57" s="38">
        <f t="shared" si="9"/>
        <v>111.24333333333334</v>
      </c>
      <c r="N57" s="53">
        <v>123.65</v>
      </c>
      <c r="O57" s="38">
        <f t="shared" si="5"/>
        <v>19.756666666666668</v>
      </c>
      <c r="P57" s="38">
        <f t="shared" si="6"/>
        <v>103.89333333333335</v>
      </c>
      <c r="Q57" s="38" t="s">
        <v>376</v>
      </c>
      <c r="R57" s="38"/>
      <c r="S57" s="38"/>
      <c r="T57" s="38"/>
      <c r="U57" s="38"/>
      <c r="V57" s="38"/>
      <c r="W57" s="38"/>
      <c r="X57" s="38"/>
      <c r="Y57" s="9"/>
    </row>
    <row r="58" spans="1:25" hidden="1" x14ac:dyDescent="0.25">
      <c r="A58" s="5" t="s">
        <v>24</v>
      </c>
      <c r="B58" s="9" t="s">
        <v>27</v>
      </c>
      <c r="C58" s="9" t="s">
        <v>392</v>
      </c>
      <c r="D58" s="9" t="s">
        <v>555</v>
      </c>
      <c r="E58" s="22">
        <v>45888</v>
      </c>
      <c r="F58" s="9">
        <v>2</v>
      </c>
      <c r="G58" s="10" t="s">
        <v>48</v>
      </c>
      <c r="H58" s="9" t="s">
        <v>85</v>
      </c>
      <c r="I58" s="9">
        <v>137</v>
      </c>
      <c r="J58" s="9" t="s">
        <v>153</v>
      </c>
      <c r="K58" s="38">
        <f t="shared" si="7"/>
        <v>137</v>
      </c>
      <c r="L58" s="38">
        <f t="shared" si="8"/>
        <v>19.756666666666668</v>
      </c>
      <c r="M58" s="38">
        <f t="shared" si="9"/>
        <v>117.24333333333334</v>
      </c>
      <c r="N58" s="53">
        <v>132.54</v>
      </c>
      <c r="O58" s="38">
        <f t="shared" si="5"/>
        <v>19.756666666666668</v>
      </c>
      <c r="P58" s="38">
        <f t="shared" si="6"/>
        <v>112.78333333333333</v>
      </c>
      <c r="Q58" s="38"/>
      <c r="R58" s="38"/>
      <c r="S58" s="38"/>
      <c r="T58" s="38"/>
      <c r="U58" s="38"/>
      <c r="V58" s="38"/>
      <c r="W58" s="38"/>
      <c r="X58" s="38"/>
      <c r="Y58" s="9"/>
    </row>
    <row r="59" spans="1:25" hidden="1" x14ac:dyDescent="0.25">
      <c r="A59" s="5" t="s">
        <v>24</v>
      </c>
      <c r="B59" s="9" t="s">
        <v>28</v>
      </c>
      <c r="C59" s="9" t="s">
        <v>392</v>
      </c>
      <c r="D59" s="9" t="s">
        <v>539</v>
      </c>
      <c r="E59" s="22">
        <v>45889</v>
      </c>
      <c r="F59" s="9">
        <v>2</v>
      </c>
      <c r="G59" s="10" t="s">
        <v>48</v>
      </c>
      <c r="H59" s="9" t="s">
        <v>71</v>
      </c>
      <c r="I59" s="9">
        <v>78</v>
      </c>
      <c r="J59" s="9" t="s">
        <v>172</v>
      </c>
      <c r="K59" s="38">
        <f t="shared" si="7"/>
        <v>78</v>
      </c>
      <c r="L59" s="38">
        <f t="shared" si="8"/>
        <v>19.756666666666668</v>
      </c>
      <c r="M59" s="38">
        <f t="shared" si="9"/>
        <v>58.243333333333332</v>
      </c>
      <c r="N59" s="53">
        <v>77.12</v>
      </c>
      <c r="O59" s="38">
        <f t="shared" si="5"/>
        <v>19.756666666666668</v>
      </c>
      <c r="P59" s="38">
        <f t="shared" si="6"/>
        <v>57.363333333333337</v>
      </c>
      <c r="Q59" s="38"/>
      <c r="R59" s="38"/>
      <c r="S59" s="38"/>
      <c r="T59" s="38"/>
      <c r="U59" s="38"/>
      <c r="V59" s="38"/>
      <c r="W59" s="38"/>
      <c r="X59" s="38"/>
      <c r="Y59" s="9"/>
    </row>
    <row r="60" spans="1:25" ht="30" hidden="1" x14ac:dyDescent="0.25">
      <c r="A60" s="5" t="s">
        <v>24</v>
      </c>
      <c r="B60" s="9" t="s">
        <v>29</v>
      </c>
      <c r="C60" s="9" t="s">
        <v>392</v>
      </c>
      <c r="D60" s="9" t="s">
        <v>523</v>
      </c>
      <c r="E60" s="22">
        <v>45888</v>
      </c>
      <c r="F60" s="9">
        <v>2</v>
      </c>
      <c r="G60" s="10" t="s">
        <v>48</v>
      </c>
      <c r="H60" s="9" t="s">
        <v>74</v>
      </c>
      <c r="I60" s="9">
        <v>116</v>
      </c>
      <c r="J60" s="9" t="s">
        <v>187</v>
      </c>
      <c r="K60" s="38">
        <f t="shared" si="7"/>
        <v>116</v>
      </c>
      <c r="L60" s="38">
        <f t="shared" si="8"/>
        <v>19.756666666666668</v>
      </c>
      <c r="M60" s="38">
        <f t="shared" si="9"/>
        <v>96.243333333333339</v>
      </c>
      <c r="N60" s="53">
        <v>121.84</v>
      </c>
      <c r="O60" s="38">
        <f t="shared" si="5"/>
        <v>19.756666666666668</v>
      </c>
      <c r="P60" s="38">
        <f t="shared" si="6"/>
        <v>102.08333333333334</v>
      </c>
      <c r="Q60" s="38"/>
      <c r="R60" s="38"/>
      <c r="S60" s="38"/>
      <c r="T60" s="38"/>
      <c r="U60" s="38"/>
      <c r="V60" s="38"/>
      <c r="W60" s="38"/>
      <c r="X60" s="38"/>
      <c r="Y60" s="9" t="s">
        <v>388</v>
      </c>
    </row>
    <row r="61" spans="1:25" ht="30" hidden="1" x14ac:dyDescent="0.25">
      <c r="A61" s="5" t="s">
        <v>24</v>
      </c>
      <c r="B61" s="9" t="s">
        <v>30</v>
      </c>
      <c r="C61" s="9" t="s">
        <v>392</v>
      </c>
      <c r="D61" s="9" t="s">
        <v>507</v>
      </c>
      <c r="E61" s="22">
        <v>45889</v>
      </c>
      <c r="F61" s="9">
        <v>2</v>
      </c>
      <c r="G61" s="10" t="s">
        <v>48</v>
      </c>
      <c r="H61" s="9" t="s">
        <v>85</v>
      </c>
      <c r="I61" s="9">
        <v>56</v>
      </c>
      <c r="J61" s="9" t="s">
        <v>199</v>
      </c>
      <c r="K61" s="38">
        <f t="shared" si="7"/>
        <v>56</v>
      </c>
      <c r="L61" s="38">
        <f t="shared" si="8"/>
        <v>19.756666666666668</v>
      </c>
      <c r="M61" s="38">
        <f t="shared" si="9"/>
        <v>36.243333333333332</v>
      </c>
      <c r="N61" s="53">
        <v>52.08</v>
      </c>
      <c r="O61" s="38">
        <f t="shared" si="5"/>
        <v>19.756666666666668</v>
      </c>
      <c r="P61" s="38">
        <f t="shared" si="6"/>
        <v>32.323333333333331</v>
      </c>
      <c r="Q61" s="38"/>
      <c r="R61" s="38"/>
      <c r="S61" s="38"/>
      <c r="T61" s="38"/>
      <c r="U61" s="38"/>
      <c r="V61" s="38"/>
      <c r="W61" s="38"/>
      <c r="X61" s="38"/>
      <c r="Y61" s="9"/>
    </row>
    <row r="62" spans="1:25" hidden="1" x14ac:dyDescent="0.25">
      <c r="A62" s="5" t="s">
        <v>24</v>
      </c>
      <c r="B62" s="9" t="s">
        <v>31</v>
      </c>
      <c r="C62" s="9" t="s">
        <v>392</v>
      </c>
      <c r="D62" s="9" t="s">
        <v>491</v>
      </c>
      <c r="E62" s="22">
        <v>45890</v>
      </c>
      <c r="F62" s="9">
        <v>2</v>
      </c>
      <c r="G62" s="10" t="s">
        <v>48</v>
      </c>
      <c r="H62" s="9" t="s">
        <v>85</v>
      </c>
      <c r="I62" s="9">
        <v>101</v>
      </c>
      <c r="J62" s="9" t="s">
        <v>216</v>
      </c>
      <c r="K62" s="38">
        <f t="shared" si="7"/>
        <v>101</v>
      </c>
      <c r="L62" s="38">
        <f t="shared" si="8"/>
        <v>19.756666666666668</v>
      </c>
      <c r="M62" s="38">
        <f t="shared" si="9"/>
        <v>81.243333333333339</v>
      </c>
      <c r="N62" s="53">
        <v>91.75</v>
      </c>
      <c r="O62" s="38">
        <f t="shared" si="5"/>
        <v>19.756666666666668</v>
      </c>
      <c r="P62" s="38">
        <f t="shared" si="6"/>
        <v>71.993333333333339</v>
      </c>
      <c r="Q62" s="38"/>
      <c r="R62" s="38"/>
      <c r="S62" s="38"/>
      <c r="T62" s="38"/>
      <c r="U62" s="38"/>
      <c r="V62" s="38"/>
      <c r="W62" s="38"/>
      <c r="X62" s="38"/>
      <c r="Y62" s="9"/>
    </row>
    <row r="63" spans="1:25" ht="30" hidden="1" x14ac:dyDescent="0.25">
      <c r="A63" s="5" t="s">
        <v>24</v>
      </c>
      <c r="B63" s="9" t="s">
        <v>27</v>
      </c>
      <c r="C63" s="9" t="s">
        <v>393</v>
      </c>
      <c r="D63" s="9" t="s">
        <v>555</v>
      </c>
      <c r="E63" s="22">
        <v>45888</v>
      </c>
      <c r="F63" s="9">
        <v>2</v>
      </c>
      <c r="G63" s="10" t="s">
        <v>49</v>
      </c>
      <c r="H63" s="9" t="s">
        <v>85</v>
      </c>
      <c r="I63" s="9">
        <v>84</v>
      </c>
      <c r="J63" s="9" t="s">
        <v>154</v>
      </c>
      <c r="K63" s="38">
        <f t="shared" si="7"/>
        <v>84</v>
      </c>
      <c r="L63" s="38">
        <f t="shared" si="8"/>
        <v>19.756666666666668</v>
      </c>
      <c r="M63" s="38">
        <f t="shared" si="9"/>
        <v>64.243333333333339</v>
      </c>
      <c r="N63" s="53">
        <v>80.39</v>
      </c>
      <c r="O63" s="38">
        <f t="shared" si="5"/>
        <v>19.756666666666668</v>
      </c>
      <c r="P63" s="38">
        <f t="shared" si="6"/>
        <v>60.633333333333333</v>
      </c>
      <c r="Q63" s="38"/>
      <c r="R63" s="38"/>
      <c r="S63" s="38"/>
      <c r="T63" s="38"/>
      <c r="U63" s="38"/>
      <c r="V63" s="38"/>
      <c r="W63" s="38"/>
      <c r="X63" s="38"/>
      <c r="Y63" s="9"/>
    </row>
    <row r="64" spans="1:25" hidden="1" x14ac:dyDescent="0.25">
      <c r="A64" s="5" t="s">
        <v>24</v>
      </c>
      <c r="B64" s="9" t="s">
        <v>28</v>
      </c>
      <c r="C64" s="9" t="s">
        <v>393</v>
      </c>
      <c r="D64" s="9" t="s">
        <v>539</v>
      </c>
      <c r="E64" s="22">
        <v>45889</v>
      </c>
      <c r="F64" s="9">
        <v>2</v>
      </c>
      <c r="G64" s="10" t="s">
        <v>49</v>
      </c>
      <c r="H64" s="9" t="s">
        <v>71</v>
      </c>
      <c r="I64" s="9">
        <v>88</v>
      </c>
      <c r="J64" s="9" t="s">
        <v>173</v>
      </c>
      <c r="K64" s="38">
        <f t="shared" si="7"/>
        <v>88</v>
      </c>
      <c r="L64" s="38">
        <f t="shared" si="8"/>
        <v>19.756666666666668</v>
      </c>
      <c r="M64" s="38">
        <f t="shared" si="9"/>
        <v>68.243333333333339</v>
      </c>
      <c r="N64" s="53">
        <v>87.08</v>
      </c>
      <c r="O64" s="38">
        <f t="shared" si="5"/>
        <v>19.756666666666668</v>
      </c>
      <c r="P64" s="38">
        <f t="shared" si="6"/>
        <v>67.323333333333323</v>
      </c>
      <c r="Q64" s="38"/>
      <c r="R64" s="38"/>
      <c r="S64" s="38"/>
      <c r="T64" s="38"/>
      <c r="U64" s="38"/>
      <c r="V64" s="38"/>
      <c r="W64" s="38"/>
      <c r="X64" s="38"/>
      <c r="Y64" s="9"/>
    </row>
    <row r="65" spans="1:25" ht="30" hidden="1" x14ac:dyDescent="0.25">
      <c r="A65" s="5" t="s">
        <v>24</v>
      </c>
      <c r="B65" s="9" t="s">
        <v>29</v>
      </c>
      <c r="C65" s="9" t="s">
        <v>393</v>
      </c>
      <c r="D65" s="9" t="s">
        <v>523</v>
      </c>
      <c r="E65" s="22">
        <v>45888</v>
      </c>
      <c r="F65" s="9">
        <v>2</v>
      </c>
      <c r="G65" s="10" t="s">
        <v>49</v>
      </c>
      <c r="H65" s="9" t="s">
        <v>74</v>
      </c>
      <c r="I65" s="9">
        <v>110</v>
      </c>
      <c r="J65" s="9" t="s">
        <v>188</v>
      </c>
      <c r="K65" s="38">
        <f t="shared" si="7"/>
        <v>110</v>
      </c>
      <c r="L65" s="38">
        <f t="shared" si="8"/>
        <v>19.756666666666668</v>
      </c>
      <c r="M65" s="38">
        <f t="shared" si="9"/>
        <v>90.243333333333339</v>
      </c>
      <c r="N65" s="53">
        <v>113.95</v>
      </c>
      <c r="O65" s="38">
        <f t="shared" si="5"/>
        <v>19.756666666666668</v>
      </c>
      <c r="P65" s="38">
        <f t="shared" si="6"/>
        <v>94.193333333333328</v>
      </c>
      <c r="Q65" s="38"/>
      <c r="R65" s="38"/>
      <c r="S65" s="38"/>
      <c r="T65" s="38"/>
      <c r="U65" s="38"/>
      <c r="V65" s="38"/>
      <c r="W65" s="38"/>
      <c r="X65" s="38"/>
      <c r="Y65" s="9" t="s">
        <v>387</v>
      </c>
    </row>
    <row r="66" spans="1:25" hidden="1" x14ac:dyDescent="0.25">
      <c r="A66" s="5" t="s">
        <v>24</v>
      </c>
      <c r="B66" s="9" t="s">
        <v>30</v>
      </c>
      <c r="C66" s="9" t="s">
        <v>393</v>
      </c>
      <c r="D66" s="9" t="s">
        <v>507</v>
      </c>
      <c r="E66" s="22">
        <v>45889</v>
      </c>
      <c r="F66" s="9">
        <v>2</v>
      </c>
      <c r="G66" s="10" t="s">
        <v>49</v>
      </c>
      <c r="H66" s="9" t="s">
        <v>85</v>
      </c>
      <c r="I66" s="9">
        <v>52</v>
      </c>
      <c r="J66" s="9" t="s">
        <v>200</v>
      </c>
      <c r="K66" s="38">
        <f t="shared" si="7"/>
        <v>52</v>
      </c>
      <c r="L66" s="38">
        <f t="shared" si="8"/>
        <v>19.756666666666668</v>
      </c>
      <c r="M66" s="38">
        <f t="shared" si="9"/>
        <v>32.243333333333332</v>
      </c>
      <c r="N66" s="53">
        <v>47.62</v>
      </c>
      <c r="O66" s="38">
        <f t="shared" si="5"/>
        <v>19.756666666666668</v>
      </c>
      <c r="P66" s="38">
        <f t="shared" si="6"/>
        <v>27.86333333333333</v>
      </c>
      <c r="Q66" s="38"/>
      <c r="R66" s="38"/>
      <c r="S66" s="38"/>
      <c r="T66" s="38"/>
      <c r="U66" s="38"/>
      <c r="V66" s="38"/>
      <c r="W66" s="38"/>
      <c r="X66" s="38"/>
      <c r="Y66" s="9"/>
    </row>
    <row r="67" spans="1:25" hidden="1" x14ac:dyDescent="0.25">
      <c r="A67" s="5" t="s">
        <v>24</v>
      </c>
      <c r="B67" s="9" t="s">
        <v>31</v>
      </c>
      <c r="C67" s="9" t="s">
        <v>393</v>
      </c>
      <c r="D67" s="9" t="s">
        <v>491</v>
      </c>
      <c r="E67" s="22">
        <v>45890</v>
      </c>
      <c r="F67" s="9">
        <v>2</v>
      </c>
      <c r="G67" s="10" t="s">
        <v>49</v>
      </c>
      <c r="H67" s="9" t="s">
        <v>85</v>
      </c>
      <c r="I67" s="9">
        <v>122</v>
      </c>
      <c r="J67" s="9" t="s">
        <v>217</v>
      </c>
      <c r="K67" s="38">
        <f t="shared" si="7"/>
        <v>122</v>
      </c>
      <c r="L67" s="38">
        <f t="shared" si="8"/>
        <v>19.756666666666668</v>
      </c>
      <c r="M67" s="38">
        <f t="shared" si="9"/>
        <v>102.24333333333334</v>
      </c>
      <c r="N67" s="53">
        <v>113.58</v>
      </c>
      <c r="O67" s="38">
        <f t="shared" si="5"/>
        <v>19.756666666666668</v>
      </c>
      <c r="P67" s="38">
        <f t="shared" si="6"/>
        <v>93.823333333333323</v>
      </c>
      <c r="Q67" s="38"/>
      <c r="R67" s="38"/>
      <c r="S67" s="38"/>
      <c r="T67" s="38"/>
      <c r="U67" s="38"/>
      <c r="V67" s="38"/>
      <c r="W67" s="38"/>
      <c r="X67" s="38"/>
      <c r="Y67" s="9"/>
    </row>
    <row r="68" spans="1:25" hidden="1" x14ac:dyDescent="0.25">
      <c r="A68" s="5" t="s">
        <v>24</v>
      </c>
      <c r="B68" s="9" t="s">
        <v>27</v>
      </c>
      <c r="C68" s="9" t="s">
        <v>394</v>
      </c>
      <c r="D68" s="9" t="s">
        <v>556</v>
      </c>
      <c r="E68" s="22">
        <v>45888</v>
      </c>
      <c r="F68" s="9">
        <v>2</v>
      </c>
      <c r="G68" s="10" t="s">
        <v>50</v>
      </c>
      <c r="H68" s="9" t="s">
        <v>85</v>
      </c>
      <c r="I68" s="9">
        <v>67</v>
      </c>
      <c r="J68" s="9" t="s">
        <v>155</v>
      </c>
      <c r="K68" s="38">
        <f t="shared" si="7"/>
        <v>67</v>
      </c>
      <c r="L68" s="38">
        <f t="shared" si="8"/>
        <v>19.756666666666668</v>
      </c>
      <c r="M68" s="38">
        <f t="shared" si="9"/>
        <v>47.243333333333332</v>
      </c>
      <c r="N68" s="53">
        <v>62.1</v>
      </c>
      <c r="O68" s="38">
        <f t="shared" si="5"/>
        <v>19.756666666666668</v>
      </c>
      <c r="P68" s="38">
        <f t="shared" si="6"/>
        <v>42.343333333333334</v>
      </c>
      <c r="Q68" s="38"/>
      <c r="R68" s="38"/>
      <c r="S68" s="38"/>
      <c r="T68" s="38"/>
      <c r="U68" s="38"/>
      <c r="V68" s="38"/>
      <c r="W68" s="38"/>
      <c r="X68" s="38"/>
      <c r="Y68" s="9"/>
    </row>
    <row r="69" spans="1:25" hidden="1" x14ac:dyDescent="0.25">
      <c r="A69" s="5" t="s">
        <v>24</v>
      </c>
      <c r="B69" s="9" t="s">
        <v>28</v>
      </c>
      <c r="C69" s="9" t="s">
        <v>394</v>
      </c>
      <c r="D69" s="9" t="s">
        <v>540</v>
      </c>
      <c r="E69" s="22">
        <v>45889</v>
      </c>
      <c r="F69" s="9">
        <v>2</v>
      </c>
      <c r="G69" s="10" t="s">
        <v>50</v>
      </c>
      <c r="H69" s="9" t="s">
        <v>71</v>
      </c>
      <c r="I69" s="9">
        <v>114</v>
      </c>
      <c r="J69" s="9" t="s">
        <v>174</v>
      </c>
      <c r="K69" s="38">
        <f t="shared" si="7"/>
        <v>114</v>
      </c>
      <c r="L69" s="38">
        <f t="shared" si="8"/>
        <v>19.756666666666668</v>
      </c>
      <c r="M69" s="38">
        <f t="shared" si="9"/>
        <v>94.243333333333339</v>
      </c>
      <c r="N69" s="53">
        <v>113.02</v>
      </c>
      <c r="O69" s="38">
        <f t="shared" si="5"/>
        <v>19.756666666666668</v>
      </c>
      <c r="P69" s="38">
        <f t="shared" si="6"/>
        <v>93.263333333333321</v>
      </c>
      <c r="Q69" s="38"/>
      <c r="R69" s="38"/>
      <c r="S69" s="38"/>
      <c r="T69" s="38"/>
      <c r="U69" s="38"/>
      <c r="V69" s="38"/>
      <c r="W69" s="38"/>
      <c r="X69" s="38"/>
      <c r="Y69" s="9"/>
    </row>
    <row r="70" spans="1:25" ht="30" hidden="1" x14ac:dyDescent="0.25">
      <c r="A70" s="5" t="s">
        <v>24</v>
      </c>
      <c r="B70" s="9" t="s">
        <v>29</v>
      </c>
      <c r="C70" s="9" t="s">
        <v>394</v>
      </c>
      <c r="D70" s="9" t="s">
        <v>524</v>
      </c>
      <c r="E70" s="22">
        <v>45888</v>
      </c>
      <c r="F70" s="9">
        <v>2</v>
      </c>
      <c r="G70" s="10" t="s">
        <v>50</v>
      </c>
      <c r="H70" s="9" t="s">
        <v>85</v>
      </c>
      <c r="I70" s="9">
        <v>94</v>
      </c>
      <c r="J70" s="9" t="s">
        <v>188</v>
      </c>
      <c r="K70" s="38">
        <f t="shared" si="7"/>
        <v>94</v>
      </c>
      <c r="L70" s="38">
        <f t="shared" si="8"/>
        <v>19.756666666666668</v>
      </c>
      <c r="M70" s="38">
        <f t="shared" si="9"/>
        <v>74.243333333333339</v>
      </c>
      <c r="N70" s="53">
        <v>98.05</v>
      </c>
      <c r="O70" s="38">
        <f t="shared" si="5"/>
        <v>19.756666666666668</v>
      </c>
      <c r="P70" s="38">
        <f t="shared" si="6"/>
        <v>78.293333333333322</v>
      </c>
      <c r="Q70" s="38"/>
      <c r="R70" s="38"/>
      <c r="S70" s="38"/>
      <c r="T70" s="38"/>
      <c r="U70" s="38"/>
      <c r="V70" s="38"/>
      <c r="W70" s="38"/>
      <c r="X70" s="38"/>
      <c r="Y70" s="9" t="s">
        <v>387</v>
      </c>
    </row>
    <row r="71" spans="1:25" hidden="1" x14ac:dyDescent="0.25">
      <c r="A71" s="5" t="s">
        <v>24</v>
      </c>
      <c r="B71" s="9" t="s">
        <v>30</v>
      </c>
      <c r="C71" s="9" t="s">
        <v>394</v>
      </c>
      <c r="D71" s="9" t="s">
        <v>508</v>
      </c>
      <c r="E71" s="22">
        <v>45889</v>
      </c>
      <c r="F71" s="9">
        <v>2</v>
      </c>
      <c r="G71" s="10" t="s">
        <v>50</v>
      </c>
      <c r="H71" s="9" t="s">
        <v>116</v>
      </c>
      <c r="I71" s="9">
        <v>129</v>
      </c>
      <c r="J71" s="9" t="s">
        <v>201</v>
      </c>
      <c r="K71" s="38">
        <f t="shared" si="7"/>
        <v>129</v>
      </c>
      <c r="L71" s="38">
        <f t="shared" si="8"/>
        <v>19.756666666666668</v>
      </c>
      <c r="M71" s="38">
        <f t="shared" si="9"/>
        <v>109.24333333333334</v>
      </c>
      <c r="N71" s="53">
        <v>116.14</v>
      </c>
      <c r="O71" s="38">
        <f t="shared" si="5"/>
        <v>19.756666666666668</v>
      </c>
      <c r="P71" s="38">
        <f t="shared" si="6"/>
        <v>96.383333333333326</v>
      </c>
      <c r="Q71" s="38"/>
      <c r="R71" s="38"/>
      <c r="S71" s="38"/>
      <c r="T71" s="38"/>
      <c r="U71" s="38"/>
      <c r="V71" s="38"/>
      <c r="W71" s="38"/>
      <c r="X71" s="38"/>
      <c r="Y71" s="9"/>
    </row>
    <row r="72" spans="1:25" hidden="1" x14ac:dyDescent="0.25">
      <c r="A72" s="5" t="s">
        <v>24</v>
      </c>
      <c r="B72" s="9" t="s">
        <v>31</v>
      </c>
      <c r="C72" s="9" t="s">
        <v>394</v>
      </c>
      <c r="D72" s="9" t="s">
        <v>492</v>
      </c>
      <c r="E72" s="22">
        <v>45890</v>
      </c>
      <c r="F72" s="9">
        <v>2</v>
      </c>
      <c r="G72" s="10" t="s">
        <v>50</v>
      </c>
      <c r="H72" s="9" t="s">
        <v>85</v>
      </c>
      <c r="I72" s="9">
        <v>79</v>
      </c>
      <c r="J72" s="9" t="s">
        <v>218</v>
      </c>
      <c r="K72" s="38">
        <f t="shared" si="7"/>
        <v>79</v>
      </c>
      <c r="L72" s="38">
        <f t="shared" si="8"/>
        <v>19.756666666666668</v>
      </c>
      <c r="M72" s="38">
        <f t="shared" si="9"/>
        <v>59.243333333333332</v>
      </c>
      <c r="N72" s="53">
        <v>69.400000000000006</v>
      </c>
      <c r="O72" s="38">
        <f t="shared" si="5"/>
        <v>19.756666666666668</v>
      </c>
      <c r="P72" s="38">
        <f t="shared" si="6"/>
        <v>49.643333333333338</v>
      </c>
      <c r="Q72" s="38"/>
      <c r="R72" s="38"/>
      <c r="S72" s="38"/>
      <c r="T72" s="38"/>
      <c r="U72" s="38"/>
      <c r="V72" s="38"/>
      <c r="W72" s="38"/>
      <c r="X72" s="38"/>
      <c r="Y72" s="9"/>
    </row>
    <row r="73" spans="1:25" hidden="1" x14ac:dyDescent="0.25">
      <c r="A73" s="5" t="s">
        <v>24</v>
      </c>
      <c r="B73" s="9" t="s">
        <v>27</v>
      </c>
      <c r="C73" s="9" t="s">
        <v>395</v>
      </c>
      <c r="D73" s="9" t="s">
        <v>556</v>
      </c>
      <c r="E73" s="22">
        <v>45888</v>
      </c>
      <c r="F73" s="9">
        <v>2</v>
      </c>
      <c r="G73" s="10" t="s">
        <v>51</v>
      </c>
      <c r="H73" s="9" t="s">
        <v>85</v>
      </c>
      <c r="I73" s="9">
        <v>77</v>
      </c>
      <c r="J73" s="9" t="s">
        <v>156</v>
      </c>
      <c r="K73" s="38">
        <f t="shared" si="7"/>
        <v>77</v>
      </c>
      <c r="L73" s="38">
        <f t="shared" si="8"/>
        <v>19.756666666666668</v>
      </c>
      <c r="M73" s="38">
        <f t="shared" si="9"/>
        <v>57.243333333333332</v>
      </c>
      <c r="N73" s="53">
        <v>69.98</v>
      </c>
      <c r="O73" s="38">
        <f t="shared" si="5"/>
        <v>19.756666666666668</v>
      </c>
      <c r="P73" s="38">
        <f t="shared" si="6"/>
        <v>50.223333333333336</v>
      </c>
      <c r="Q73" s="38"/>
      <c r="R73" s="38"/>
      <c r="S73" s="38"/>
      <c r="T73" s="38"/>
      <c r="U73" s="38"/>
      <c r="V73" s="38"/>
      <c r="W73" s="38"/>
      <c r="X73" s="38"/>
      <c r="Y73" s="9"/>
    </row>
    <row r="74" spans="1:25" ht="30" hidden="1" x14ac:dyDescent="0.25">
      <c r="A74" s="5" t="s">
        <v>24</v>
      </c>
      <c r="B74" s="9" t="s">
        <v>28</v>
      </c>
      <c r="C74" s="9" t="s">
        <v>395</v>
      </c>
      <c r="D74" s="9" t="s">
        <v>540</v>
      </c>
      <c r="E74" s="22">
        <v>45889</v>
      </c>
      <c r="F74" s="9">
        <v>2</v>
      </c>
      <c r="G74" s="10" t="s">
        <v>51</v>
      </c>
      <c r="H74" s="9" t="s">
        <v>71</v>
      </c>
      <c r="I74" s="37">
        <v>194</v>
      </c>
      <c r="J74" s="37"/>
      <c r="K74" s="38">
        <f t="shared" si="7"/>
        <v>194</v>
      </c>
      <c r="L74" s="38">
        <f t="shared" si="8"/>
        <v>19.756666666666668</v>
      </c>
      <c r="M74" s="38">
        <f t="shared" si="9"/>
        <v>174.24333333333334</v>
      </c>
      <c r="N74" s="53">
        <v>190.35</v>
      </c>
      <c r="O74" s="38">
        <f t="shared" si="5"/>
        <v>19.756666666666668</v>
      </c>
      <c r="P74" s="38">
        <f t="shared" si="6"/>
        <v>170.59333333333333</v>
      </c>
      <c r="Q74" s="38"/>
      <c r="R74" s="38"/>
      <c r="S74" s="38"/>
      <c r="T74" s="38"/>
      <c r="U74" s="38"/>
      <c r="V74" s="38"/>
      <c r="W74" s="38"/>
      <c r="X74" s="38"/>
      <c r="Y74" s="9" t="s">
        <v>695</v>
      </c>
    </row>
    <row r="75" spans="1:25" hidden="1" x14ac:dyDescent="0.25">
      <c r="A75" s="5" t="s">
        <v>24</v>
      </c>
      <c r="B75" s="9" t="s">
        <v>29</v>
      </c>
      <c r="C75" s="9" t="s">
        <v>395</v>
      </c>
      <c r="D75" s="9" t="s">
        <v>524</v>
      </c>
      <c r="E75" s="22">
        <v>45888</v>
      </c>
      <c r="F75" s="9">
        <v>2</v>
      </c>
      <c r="G75" s="10" t="s">
        <v>51</v>
      </c>
      <c r="H75" s="9" t="s">
        <v>85</v>
      </c>
      <c r="I75" s="9">
        <v>114</v>
      </c>
      <c r="J75" s="9" t="s">
        <v>189</v>
      </c>
      <c r="K75" s="38">
        <f t="shared" si="7"/>
        <v>114</v>
      </c>
      <c r="L75" s="38">
        <f t="shared" si="8"/>
        <v>19.756666666666668</v>
      </c>
      <c r="M75" s="38">
        <f t="shared" si="9"/>
        <v>94.243333333333339</v>
      </c>
      <c r="N75" s="53">
        <v>109.39</v>
      </c>
      <c r="O75" s="38">
        <f t="shared" si="5"/>
        <v>19.756666666666668</v>
      </c>
      <c r="P75" s="38">
        <f t="shared" si="6"/>
        <v>89.633333333333326</v>
      </c>
      <c r="Q75" s="38"/>
      <c r="R75" s="38"/>
      <c r="S75" s="38"/>
      <c r="T75" s="38"/>
      <c r="U75" s="38"/>
      <c r="V75" s="38"/>
      <c r="W75" s="38"/>
      <c r="X75" s="38"/>
      <c r="Y75" s="9"/>
    </row>
    <row r="76" spans="1:25" hidden="1" x14ac:dyDescent="0.25">
      <c r="A76" s="5" t="s">
        <v>24</v>
      </c>
      <c r="B76" s="9" t="s">
        <v>30</v>
      </c>
      <c r="C76" s="9" t="s">
        <v>395</v>
      </c>
      <c r="D76" s="9" t="s">
        <v>508</v>
      </c>
      <c r="E76" s="22">
        <v>45889</v>
      </c>
      <c r="F76" s="9">
        <v>2</v>
      </c>
      <c r="G76" s="10" t="s">
        <v>51</v>
      </c>
      <c r="H76" s="9" t="s">
        <v>116</v>
      </c>
      <c r="I76" s="9">
        <v>119</v>
      </c>
      <c r="J76" s="9" t="s">
        <v>202</v>
      </c>
      <c r="K76" s="38">
        <f t="shared" si="7"/>
        <v>119</v>
      </c>
      <c r="L76" s="38">
        <f t="shared" si="8"/>
        <v>19.756666666666668</v>
      </c>
      <c r="M76" s="38">
        <f t="shared" si="9"/>
        <v>99.243333333333339</v>
      </c>
      <c r="N76" s="53">
        <v>106.44</v>
      </c>
      <c r="O76" s="38">
        <f t="shared" si="5"/>
        <v>19.756666666666668</v>
      </c>
      <c r="P76" s="38">
        <f t="shared" si="6"/>
        <v>86.683333333333337</v>
      </c>
      <c r="Q76" s="38"/>
      <c r="R76" s="38"/>
      <c r="S76" s="38"/>
      <c r="T76" s="38"/>
      <c r="U76" s="38"/>
      <c r="V76" s="38"/>
      <c r="W76" s="38"/>
      <c r="X76" s="38"/>
      <c r="Y76" s="9"/>
    </row>
    <row r="77" spans="1:25" hidden="1" x14ac:dyDescent="0.25">
      <c r="A77" s="5" t="s">
        <v>24</v>
      </c>
      <c r="B77" s="9" t="s">
        <v>31</v>
      </c>
      <c r="C77" s="9" t="s">
        <v>395</v>
      </c>
      <c r="D77" s="9" t="s">
        <v>492</v>
      </c>
      <c r="E77" s="22">
        <v>45890</v>
      </c>
      <c r="F77" s="9">
        <v>2</v>
      </c>
      <c r="G77" s="10" t="s">
        <v>51</v>
      </c>
      <c r="H77" s="9" t="s">
        <v>85</v>
      </c>
      <c r="I77" s="9">
        <v>88</v>
      </c>
      <c r="J77" s="9" t="s">
        <v>218</v>
      </c>
      <c r="K77" s="38">
        <f t="shared" si="7"/>
        <v>88</v>
      </c>
      <c r="L77" s="38">
        <f t="shared" si="8"/>
        <v>19.756666666666668</v>
      </c>
      <c r="M77" s="38">
        <f t="shared" si="9"/>
        <v>68.243333333333339</v>
      </c>
      <c r="N77" s="53">
        <v>74.260000000000005</v>
      </c>
      <c r="O77" s="38">
        <f t="shared" si="5"/>
        <v>19.756666666666668</v>
      </c>
      <c r="P77" s="38">
        <f t="shared" si="6"/>
        <v>54.503333333333337</v>
      </c>
      <c r="Q77" s="38"/>
      <c r="R77" s="38"/>
      <c r="S77" s="38"/>
      <c r="T77" s="38"/>
      <c r="U77" s="38"/>
      <c r="V77" s="38"/>
      <c r="W77" s="38"/>
      <c r="X77" s="38"/>
      <c r="Y77" s="9"/>
    </row>
    <row r="78" spans="1:25" hidden="1" x14ac:dyDescent="0.25">
      <c r="A78" s="5" t="s">
        <v>24</v>
      </c>
      <c r="B78" s="9" t="s">
        <v>27</v>
      </c>
      <c r="C78" s="9" t="s">
        <v>396</v>
      </c>
      <c r="D78" s="9" t="s">
        <v>557</v>
      </c>
      <c r="E78" s="22">
        <v>45888</v>
      </c>
      <c r="F78" s="9">
        <v>2</v>
      </c>
      <c r="G78" s="10" t="s">
        <v>52</v>
      </c>
      <c r="H78" s="9" t="s">
        <v>85</v>
      </c>
      <c r="I78" s="9">
        <v>87</v>
      </c>
      <c r="J78" s="9" t="s">
        <v>156</v>
      </c>
      <c r="K78" s="38">
        <f t="shared" si="7"/>
        <v>87</v>
      </c>
      <c r="L78" s="38">
        <f t="shared" si="8"/>
        <v>19.756666666666668</v>
      </c>
      <c r="M78" s="38">
        <f t="shared" si="9"/>
        <v>67.243333333333339</v>
      </c>
      <c r="N78" s="53">
        <v>81.08</v>
      </c>
      <c r="O78" s="38">
        <f t="shared" si="5"/>
        <v>19.756666666666668</v>
      </c>
      <c r="P78" s="38">
        <f t="shared" si="6"/>
        <v>61.323333333333331</v>
      </c>
      <c r="Q78" s="38"/>
      <c r="R78" s="38"/>
      <c r="S78" s="38"/>
      <c r="T78" s="38"/>
      <c r="U78" s="38"/>
      <c r="V78" s="38"/>
      <c r="W78" s="38"/>
      <c r="X78" s="38"/>
      <c r="Y78" s="9"/>
    </row>
    <row r="79" spans="1:25" ht="30" hidden="1" x14ac:dyDescent="0.25">
      <c r="A79" s="5" t="s">
        <v>24</v>
      </c>
      <c r="B79" s="9" t="s">
        <v>28</v>
      </c>
      <c r="C79" s="9" t="s">
        <v>396</v>
      </c>
      <c r="D79" s="9" t="s">
        <v>541</v>
      </c>
      <c r="E79" s="22">
        <v>45889</v>
      </c>
      <c r="F79" s="9">
        <v>2</v>
      </c>
      <c r="G79" s="10" t="s">
        <v>52</v>
      </c>
      <c r="H79" s="9" t="s">
        <v>71</v>
      </c>
      <c r="I79" s="9">
        <v>65</v>
      </c>
      <c r="J79" s="9" t="s">
        <v>175</v>
      </c>
      <c r="K79" s="38">
        <f t="shared" si="7"/>
        <v>65</v>
      </c>
      <c r="L79" s="38">
        <f t="shared" si="8"/>
        <v>19.756666666666668</v>
      </c>
      <c r="M79" s="38">
        <f t="shared" si="9"/>
        <v>45.243333333333332</v>
      </c>
      <c r="N79" s="53">
        <v>63.85</v>
      </c>
      <c r="O79" s="38">
        <f t="shared" si="5"/>
        <v>19.756666666666668</v>
      </c>
      <c r="P79" s="38">
        <f t="shared" si="6"/>
        <v>44.093333333333334</v>
      </c>
      <c r="Q79" s="38"/>
      <c r="R79" s="38"/>
      <c r="S79" s="38"/>
      <c r="T79" s="38"/>
      <c r="U79" s="38"/>
      <c r="V79" s="38"/>
      <c r="W79" s="38"/>
      <c r="X79" s="38"/>
      <c r="Y79" s="9" t="s">
        <v>695</v>
      </c>
    </row>
    <row r="80" spans="1:25" hidden="1" x14ac:dyDescent="0.25">
      <c r="A80" s="5" t="s">
        <v>24</v>
      </c>
      <c r="B80" s="9" t="s">
        <v>29</v>
      </c>
      <c r="C80" s="9" t="s">
        <v>396</v>
      </c>
      <c r="D80" s="9" t="s">
        <v>525</v>
      </c>
      <c r="E80" s="22">
        <v>45888</v>
      </c>
      <c r="F80" s="9">
        <v>2</v>
      </c>
      <c r="G80" s="10" t="s">
        <v>52</v>
      </c>
      <c r="H80" s="9" t="s">
        <v>85</v>
      </c>
      <c r="I80" s="9">
        <v>142</v>
      </c>
      <c r="J80" s="9" t="s">
        <v>190</v>
      </c>
      <c r="K80" s="38">
        <f t="shared" si="7"/>
        <v>142</v>
      </c>
      <c r="L80" s="38">
        <f t="shared" si="8"/>
        <v>19.756666666666668</v>
      </c>
      <c r="M80" s="38">
        <f t="shared" si="9"/>
        <v>122.24333333333334</v>
      </c>
      <c r="N80" s="53">
        <v>135.63999999999999</v>
      </c>
      <c r="O80" s="38">
        <f t="shared" si="5"/>
        <v>19.756666666666668</v>
      </c>
      <c r="P80" s="38">
        <f t="shared" si="6"/>
        <v>115.88333333333333</v>
      </c>
      <c r="Q80" s="38"/>
      <c r="R80" s="38"/>
      <c r="S80" s="38"/>
      <c r="T80" s="38"/>
      <c r="U80" s="38"/>
      <c r="V80" s="38"/>
      <c r="W80" s="38"/>
      <c r="X80" s="38"/>
      <c r="Y80" s="9"/>
    </row>
    <row r="81" spans="1:25" hidden="1" x14ac:dyDescent="0.25">
      <c r="A81" s="5" t="s">
        <v>24</v>
      </c>
      <c r="B81" s="9" t="s">
        <v>30</v>
      </c>
      <c r="C81" s="9" t="s">
        <v>396</v>
      </c>
      <c r="D81" s="9" t="s">
        <v>509</v>
      </c>
      <c r="E81" s="22">
        <v>45889</v>
      </c>
      <c r="F81" s="9">
        <v>2</v>
      </c>
      <c r="G81" s="10" t="s">
        <v>52</v>
      </c>
      <c r="H81" s="9" t="s">
        <v>85</v>
      </c>
      <c r="I81" s="9">
        <v>136</v>
      </c>
      <c r="J81" s="9" t="s">
        <v>203</v>
      </c>
      <c r="K81" s="38">
        <f t="shared" si="7"/>
        <v>136</v>
      </c>
      <c r="L81" s="38">
        <f t="shared" si="8"/>
        <v>19.756666666666668</v>
      </c>
      <c r="M81" s="38">
        <f t="shared" si="9"/>
        <v>116.24333333333334</v>
      </c>
      <c r="N81" s="53">
        <v>121.42</v>
      </c>
      <c r="O81" s="38">
        <f t="shared" si="5"/>
        <v>19.756666666666668</v>
      </c>
      <c r="P81" s="38">
        <f t="shared" si="6"/>
        <v>101.66333333333333</v>
      </c>
      <c r="Q81" s="38"/>
      <c r="R81" s="38"/>
      <c r="S81" s="38"/>
      <c r="T81" s="38"/>
      <c r="U81" s="38"/>
      <c r="V81" s="38"/>
      <c r="W81" s="38"/>
      <c r="X81" s="38"/>
      <c r="Y81" s="9"/>
    </row>
    <row r="82" spans="1:25" hidden="1" x14ac:dyDescent="0.25">
      <c r="A82" s="5" t="s">
        <v>24</v>
      </c>
      <c r="B82" s="9" t="s">
        <v>31</v>
      </c>
      <c r="C82" s="9" t="s">
        <v>396</v>
      </c>
      <c r="D82" s="9" t="s">
        <v>493</v>
      </c>
      <c r="E82" s="22">
        <v>45890</v>
      </c>
      <c r="F82" s="9">
        <v>2</v>
      </c>
      <c r="G82" s="10" t="s">
        <v>52</v>
      </c>
      <c r="H82" s="9" t="s">
        <v>85</v>
      </c>
      <c r="I82" s="9">
        <v>96</v>
      </c>
      <c r="J82" s="9" t="s">
        <v>218</v>
      </c>
      <c r="K82" s="38">
        <f t="shared" si="7"/>
        <v>96</v>
      </c>
      <c r="L82" s="38">
        <f t="shared" si="8"/>
        <v>19.756666666666668</v>
      </c>
      <c r="M82" s="38">
        <f t="shared" si="9"/>
        <v>76.243333333333339</v>
      </c>
      <c r="N82" s="53">
        <v>81.36</v>
      </c>
      <c r="O82" s="38">
        <f t="shared" si="5"/>
        <v>19.756666666666668</v>
      </c>
      <c r="P82" s="38">
        <f t="shared" si="6"/>
        <v>61.603333333333332</v>
      </c>
      <c r="Q82" s="38"/>
      <c r="R82" s="38"/>
      <c r="S82" s="38"/>
      <c r="T82" s="38"/>
      <c r="U82" s="38"/>
      <c r="V82" s="38"/>
      <c r="W82" s="38"/>
      <c r="X82" s="38"/>
      <c r="Y82" s="9"/>
    </row>
    <row r="83" spans="1:25" hidden="1" x14ac:dyDescent="0.25">
      <c r="A83" s="5" t="s">
        <v>24</v>
      </c>
      <c r="B83" s="9" t="s">
        <v>27</v>
      </c>
      <c r="C83" s="9" t="s">
        <v>397</v>
      </c>
      <c r="D83" s="9" t="s">
        <v>557</v>
      </c>
      <c r="E83" s="22">
        <v>45888</v>
      </c>
      <c r="F83" s="9">
        <v>2</v>
      </c>
      <c r="G83" s="10" t="s">
        <v>53</v>
      </c>
      <c r="H83" s="9" t="s">
        <v>85</v>
      </c>
      <c r="I83" s="9">
        <v>89</v>
      </c>
      <c r="J83" s="9" t="s">
        <v>157</v>
      </c>
      <c r="K83" s="38">
        <f t="shared" si="7"/>
        <v>89</v>
      </c>
      <c r="L83" s="38">
        <f t="shared" si="8"/>
        <v>19.756666666666668</v>
      </c>
      <c r="M83" s="38">
        <f t="shared" si="9"/>
        <v>69.243333333333339</v>
      </c>
      <c r="N83" s="53">
        <v>81.819999999999993</v>
      </c>
      <c r="O83" s="38">
        <f t="shared" si="5"/>
        <v>19.756666666666668</v>
      </c>
      <c r="P83" s="38">
        <f t="shared" si="6"/>
        <v>62.063333333333325</v>
      </c>
      <c r="Q83" s="38"/>
      <c r="R83" s="38"/>
      <c r="S83" s="38"/>
      <c r="T83" s="38"/>
      <c r="U83" s="38"/>
      <c r="V83" s="38"/>
      <c r="W83" s="38"/>
      <c r="X83" s="38"/>
      <c r="Y83" s="9"/>
    </row>
    <row r="84" spans="1:25" ht="30" hidden="1" x14ac:dyDescent="0.25">
      <c r="A84" s="5" t="s">
        <v>24</v>
      </c>
      <c r="B84" s="9" t="s">
        <v>28</v>
      </c>
      <c r="C84" s="9" t="s">
        <v>397</v>
      </c>
      <c r="D84" s="9" t="s">
        <v>541</v>
      </c>
      <c r="E84" s="22">
        <v>45889</v>
      </c>
      <c r="F84" s="9">
        <v>2</v>
      </c>
      <c r="G84" s="10" t="s">
        <v>53</v>
      </c>
      <c r="H84" s="9" t="s">
        <v>74</v>
      </c>
      <c r="I84" s="9">
        <v>98</v>
      </c>
      <c r="J84" s="9" t="s">
        <v>176</v>
      </c>
      <c r="K84" s="38">
        <f t="shared" si="7"/>
        <v>98</v>
      </c>
      <c r="L84" s="38">
        <f t="shared" si="8"/>
        <v>19.756666666666668</v>
      </c>
      <c r="M84" s="38">
        <f t="shared" si="9"/>
        <v>78.243333333333339</v>
      </c>
      <c r="N84" s="53">
        <v>96.21</v>
      </c>
      <c r="O84" s="38">
        <f t="shared" si="5"/>
        <v>19.756666666666668</v>
      </c>
      <c r="P84" s="38">
        <f t="shared" si="6"/>
        <v>76.453333333333319</v>
      </c>
      <c r="Q84" s="38"/>
      <c r="R84" s="38"/>
      <c r="S84" s="38"/>
      <c r="T84" s="38"/>
      <c r="U84" s="38"/>
      <c r="V84" s="38"/>
      <c r="W84" s="38"/>
      <c r="X84" s="38"/>
      <c r="Y84" s="9" t="s">
        <v>695</v>
      </c>
    </row>
    <row r="85" spans="1:25" hidden="1" x14ac:dyDescent="0.25">
      <c r="A85" s="5" t="s">
        <v>24</v>
      </c>
      <c r="B85" s="9" t="s">
        <v>29</v>
      </c>
      <c r="C85" s="9" t="s">
        <v>397</v>
      </c>
      <c r="D85" s="9" t="s">
        <v>525</v>
      </c>
      <c r="E85" s="22">
        <v>45888</v>
      </c>
      <c r="F85" s="9">
        <v>2</v>
      </c>
      <c r="G85" s="10" t="s">
        <v>53</v>
      </c>
      <c r="H85" s="9" t="s">
        <v>85</v>
      </c>
      <c r="I85" s="9">
        <v>123</v>
      </c>
      <c r="J85" s="9" t="s">
        <v>190</v>
      </c>
      <c r="K85" s="38">
        <f t="shared" si="7"/>
        <v>123</v>
      </c>
      <c r="L85" s="38">
        <f t="shared" si="8"/>
        <v>19.756666666666668</v>
      </c>
      <c r="M85" s="38">
        <f t="shared" si="9"/>
        <v>103.24333333333334</v>
      </c>
      <c r="N85" s="53">
        <v>115.77</v>
      </c>
      <c r="O85" s="38">
        <f t="shared" si="5"/>
        <v>19.756666666666668</v>
      </c>
      <c r="P85" s="38">
        <f t="shared" si="6"/>
        <v>96.013333333333321</v>
      </c>
      <c r="Q85" s="38"/>
      <c r="R85" s="38"/>
      <c r="S85" s="38"/>
      <c r="T85" s="38"/>
      <c r="U85" s="38"/>
      <c r="V85" s="38"/>
      <c r="W85" s="38"/>
      <c r="X85" s="38"/>
      <c r="Y85" s="9"/>
    </row>
    <row r="86" spans="1:25" hidden="1" x14ac:dyDescent="0.25">
      <c r="A86" s="5" t="s">
        <v>24</v>
      </c>
      <c r="B86" s="9" t="s">
        <v>30</v>
      </c>
      <c r="C86" s="9" t="s">
        <v>397</v>
      </c>
      <c r="D86" s="9" t="s">
        <v>509</v>
      </c>
      <c r="E86" s="22">
        <v>45889</v>
      </c>
      <c r="F86" s="9">
        <v>2</v>
      </c>
      <c r="G86" s="10" t="s">
        <v>53</v>
      </c>
      <c r="H86" s="9" t="s">
        <v>116</v>
      </c>
      <c r="I86" s="9">
        <v>150</v>
      </c>
      <c r="J86" s="9" t="s">
        <v>204</v>
      </c>
      <c r="K86" s="38">
        <f t="shared" si="7"/>
        <v>150</v>
      </c>
      <c r="L86" s="38">
        <f t="shared" si="8"/>
        <v>19.756666666666668</v>
      </c>
      <c r="M86" s="38">
        <f t="shared" si="9"/>
        <v>130.24333333333334</v>
      </c>
      <c r="N86" s="53">
        <v>133.08000000000001</v>
      </c>
      <c r="O86" s="38">
        <f t="shared" si="5"/>
        <v>19.756666666666668</v>
      </c>
      <c r="P86" s="38">
        <f t="shared" si="6"/>
        <v>113.32333333333335</v>
      </c>
      <c r="Q86" s="38"/>
      <c r="R86" s="38"/>
      <c r="S86" s="38"/>
      <c r="T86" s="38"/>
      <c r="U86" s="38"/>
      <c r="V86" s="38"/>
      <c r="W86" s="38"/>
      <c r="X86" s="38"/>
      <c r="Y86" s="9"/>
    </row>
    <row r="87" spans="1:25" hidden="1" x14ac:dyDescent="0.25">
      <c r="A87" s="5" t="s">
        <v>24</v>
      </c>
      <c r="B87" s="9" t="s">
        <v>31</v>
      </c>
      <c r="C87" s="9" t="s">
        <v>397</v>
      </c>
      <c r="D87" s="9" t="s">
        <v>493</v>
      </c>
      <c r="E87" s="22">
        <v>45890</v>
      </c>
      <c r="F87" s="9">
        <v>2</v>
      </c>
      <c r="G87" s="10" t="s">
        <v>53</v>
      </c>
      <c r="H87" s="9" t="s">
        <v>85</v>
      </c>
      <c r="I87" s="9">
        <v>167</v>
      </c>
      <c r="J87" s="9" t="s">
        <v>218</v>
      </c>
      <c r="K87" s="38">
        <f t="shared" si="7"/>
        <v>167</v>
      </c>
      <c r="L87" s="38">
        <f t="shared" si="8"/>
        <v>19.756666666666668</v>
      </c>
      <c r="M87" s="38">
        <f t="shared" si="9"/>
        <v>147.24333333333334</v>
      </c>
      <c r="N87" s="53">
        <v>159.03</v>
      </c>
      <c r="O87" s="38">
        <f t="shared" si="5"/>
        <v>19.756666666666668</v>
      </c>
      <c r="P87" s="38">
        <f t="shared" si="6"/>
        <v>139.27333333333334</v>
      </c>
      <c r="Q87" s="38"/>
      <c r="R87" s="38"/>
      <c r="S87" s="38"/>
      <c r="T87" s="38"/>
      <c r="U87" s="38"/>
      <c r="V87" s="38"/>
      <c r="W87" s="38"/>
      <c r="X87" s="38"/>
      <c r="Y87" s="9"/>
    </row>
    <row r="88" spans="1:25" hidden="1" x14ac:dyDescent="0.25">
      <c r="A88" s="5" t="s">
        <v>24</v>
      </c>
      <c r="B88" s="9" t="s">
        <v>27</v>
      </c>
      <c r="C88" s="9" t="s">
        <v>398</v>
      </c>
      <c r="D88" s="9" t="s">
        <v>558</v>
      </c>
      <c r="E88" s="22">
        <v>45888</v>
      </c>
      <c r="F88" s="9">
        <v>2</v>
      </c>
      <c r="G88" s="10" t="s">
        <v>54</v>
      </c>
      <c r="H88" s="9" t="s">
        <v>85</v>
      </c>
      <c r="I88" s="9">
        <v>123</v>
      </c>
      <c r="J88" s="9" t="s">
        <v>158</v>
      </c>
      <c r="K88" s="38">
        <f t="shared" si="7"/>
        <v>123</v>
      </c>
      <c r="L88" s="38">
        <f t="shared" si="8"/>
        <v>19.756666666666668</v>
      </c>
      <c r="M88" s="38">
        <f t="shared" si="9"/>
        <v>103.24333333333334</v>
      </c>
      <c r="N88" s="53">
        <v>116.88</v>
      </c>
      <c r="O88" s="38">
        <f t="shared" si="5"/>
        <v>19.756666666666668</v>
      </c>
      <c r="P88" s="38">
        <f t="shared" si="6"/>
        <v>97.123333333333335</v>
      </c>
      <c r="Q88" s="38"/>
      <c r="R88" s="38"/>
      <c r="S88" s="38"/>
      <c r="T88" s="38"/>
      <c r="U88" s="38"/>
      <c r="V88" s="38"/>
      <c r="W88" s="38"/>
      <c r="X88" s="38"/>
      <c r="Y88" s="9"/>
    </row>
    <row r="89" spans="1:25" ht="30" hidden="1" x14ac:dyDescent="0.25">
      <c r="A89" s="5" t="s">
        <v>24</v>
      </c>
      <c r="B89" s="9" t="s">
        <v>28</v>
      </c>
      <c r="C89" s="9" t="s">
        <v>398</v>
      </c>
      <c r="D89" s="9" t="s">
        <v>542</v>
      </c>
      <c r="E89" s="22">
        <v>45889</v>
      </c>
      <c r="F89" s="9">
        <v>2</v>
      </c>
      <c r="G89" s="10" t="s">
        <v>54</v>
      </c>
      <c r="H89" s="9" t="s">
        <v>74</v>
      </c>
      <c r="I89" s="9">
        <v>97</v>
      </c>
      <c r="J89" s="9" t="s">
        <v>177</v>
      </c>
      <c r="K89" s="38">
        <f t="shared" si="7"/>
        <v>97</v>
      </c>
      <c r="L89" s="38">
        <f t="shared" si="8"/>
        <v>19.756666666666668</v>
      </c>
      <c r="M89" s="38">
        <f t="shared" si="9"/>
        <v>77.243333333333339</v>
      </c>
      <c r="N89" s="53">
        <v>94.35</v>
      </c>
      <c r="O89" s="38">
        <f t="shared" si="5"/>
        <v>19.756666666666668</v>
      </c>
      <c r="P89" s="38">
        <f t="shared" si="6"/>
        <v>74.593333333333334</v>
      </c>
      <c r="Q89" s="38"/>
      <c r="R89" s="38"/>
      <c r="S89" s="38"/>
      <c r="T89" s="38"/>
      <c r="U89" s="38"/>
      <c r="V89" s="38"/>
      <c r="W89" s="38"/>
      <c r="X89" s="38"/>
      <c r="Y89" s="9" t="s">
        <v>695</v>
      </c>
    </row>
    <row r="90" spans="1:25" hidden="1" x14ac:dyDescent="0.25">
      <c r="A90" s="5" t="s">
        <v>24</v>
      </c>
      <c r="B90" s="9" t="s">
        <v>29</v>
      </c>
      <c r="C90" s="9" t="s">
        <v>398</v>
      </c>
      <c r="D90" s="9" t="s">
        <v>526</v>
      </c>
      <c r="E90" s="22">
        <v>45888</v>
      </c>
      <c r="F90" s="9">
        <v>2</v>
      </c>
      <c r="G90" s="10" t="s">
        <v>54</v>
      </c>
      <c r="H90" s="9" t="s">
        <v>85</v>
      </c>
      <c r="I90" s="9">
        <v>122</v>
      </c>
      <c r="J90" s="9" t="s">
        <v>190</v>
      </c>
      <c r="K90" s="38">
        <f t="shared" si="7"/>
        <v>122</v>
      </c>
      <c r="L90" s="38">
        <f t="shared" si="8"/>
        <v>19.756666666666668</v>
      </c>
      <c r="M90" s="38">
        <f t="shared" si="9"/>
        <v>102.24333333333334</v>
      </c>
      <c r="N90" s="53">
        <v>115.66</v>
      </c>
      <c r="O90" s="38">
        <f t="shared" si="5"/>
        <v>19.756666666666668</v>
      </c>
      <c r="P90" s="38">
        <f t="shared" si="6"/>
        <v>95.903333333333336</v>
      </c>
      <c r="Q90" s="38"/>
      <c r="R90" s="38"/>
      <c r="S90" s="38"/>
      <c r="T90" s="38"/>
      <c r="U90" s="38"/>
      <c r="V90" s="38"/>
      <c r="W90" s="38"/>
      <c r="X90" s="38"/>
      <c r="Y90" s="9"/>
    </row>
    <row r="91" spans="1:25" hidden="1" x14ac:dyDescent="0.25">
      <c r="A91" s="5" t="s">
        <v>24</v>
      </c>
      <c r="B91" s="9" t="s">
        <v>30</v>
      </c>
      <c r="C91" s="9" t="s">
        <v>398</v>
      </c>
      <c r="D91" s="9" t="s">
        <v>510</v>
      </c>
      <c r="E91" s="22">
        <v>45889</v>
      </c>
      <c r="F91" s="9">
        <v>2</v>
      </c>
      <c r="G91" s="10" t="s">
        <v>54</v>
      </c>
      <c r="H91" s="9" t="s">
        <v>116</v>
      </c>
      <c r="I91" s="9">
        <v>119</v>
      </c>
      <c r="J91" s="9" t="s">
        <v>204</v>
      </c>
      <c r="K91" s="38">
        <f t="shared" si="7"/>
        <v>119</v>
      </c>
      <c r="L91" s="38">
        <f t="shared" si="8"/>
        <v>19.756666666666668</v>
      </c>
      <c r="M91" s="38">
        <f t="shared" si="9"/>
        <v>99.243333333333339</v>
      </c>
      <c r="N91" s="53">
        <v>103.84</v>
      </c>
      <c r="O91" s="38">
        <f t="shared" si="5"/>
        <v>19.756666666666668</v>
      </c>
      <c r="P91" s="38">
        <f t="shared" si="6"/>
        <v>84.083333333333343</v>
      </c>
      <c r="Q91" s="38"/>
      <c r="R91" s="38"/>
      <c r="S91" s="38"/>
      <c r="T91" s="38"/>
      <c r="U91" s="38"/>
      <c r="V91" s="38"/>
      <c r="W91" s="38"/>
      <c r="X91" s="38"/>
      <c r="Y91" s="9"/>
    </row>
    <row r="92" spans="1:25" hidden="1" x14ac:dyDescent="0.25">
      <c r="A92" s="5" t="s">
        <v>24</v>
      </c>
      <c r="B92" s="9" t="s">
        <v>31</v>
      </c>
      <c r="C92" s="9" t="s">
        <v>398</v>
      </c>
      <c r="D92" s="9" t="s">
        <v>494</v>
      </c>
      <c r="E92" s="22">
        <v>45890</v>
      </c>
      <c r="F92" s="9">
        <v>2</v>
      </c>
      <c r="G92" s="10" t="s">
        <v>54</v>
      </c>
      <c r="H92" s="9" t="s">
        <v>85</v>
      </c>
      <c r="I92" s="9">
        <v>100</v>
      </c>
      <c r="J92" s="9" t="s">
        <v>219</v>
      </c>
      <c r="K92" s="38">
        <f t="shared" si="7"/>
        <v>100</v>
      </c>
      <c r="L92" s="38">
        <f t="shared" si="8"/>
        <v>19.756666666666668</v>
      </c>
      <c r="M92" s="38">
        <f t="shared" si="9"/>
        <v>80.243333333333339</v>
      </c>
      <c r="N92" s="53">
        <v>90.03</v>
      </c>
      <c r="O92" s="38">
        <f t="shared" si="5"/>
        <v>19.756666666666668</v>
      </c>
      <c r="P92" s="38">
        <f t="shared" si="6"/>
        <v>70.273333333333341</v>
      </c>
      <c r="Q92" s="38"/>
      <c r="R92" s="38"/>
      <c r="S92" s="38"/>
      <c r="T92" s="38"/>
      <c r="U92" s="38"/>
      <c r="V92" s="38"/>
      <c r="W92" s="38"/>
      <c r="X92" s="38"/>
      <c r="Y92" s="9"/>
    </row>
    <row r="93" spans="1:25" hidden="1" x14ac:dyDescent="0.25">
      <c r="A93" s="5" t="s">
        <v>24</v>
      </c>
      <c r="B93" s="9" t="s">
        <v>27</v>
      </c>
      <c r="C93" s="9" t="s">
        <v>399</v>
      </c>
      <c r="D93" s="9" t="s">
        <v>558</v>
      </c>
      <c r="E93" s="22">
        <v>45888</v>
      </c>
      <c r="F93" s="9">
        <v>2</v>
      </c>
      <c r="G93" s="10" t="s">
        <v>55</v>
      </c>
      <c r="H93" s="9" t="s">
        <v>85</v>
      </c>
      <c r="I93" s="9">
        <v>107</v>
      </c>
      <c r="J93" s="9" t="s">
        <v>159</v>
      </c>
      <c r="K93" s="38">
        <f t="shared" si="7"/>
        <v>107</v>
      </c>
      <c r="L93" s="38">
        <f t="shared" si="8"/>
        <v>19.756666666666668</v>
      </c>
      <c r="M93" s="38">
        <f t="shared" si="9"/>
        <v>87.243333333333339</v>
      </c>
      <c r="N93" s="53">
        <v>98.18</v>
      </c>
      <c r="O93" s="38">
        <f t="shared" si="5"/>
        <v>19.756666666666668</v>
      </c>
      <c r="P93" s="38">
        <f t="shared" si="6"/>
        <v>78.423333333333346</v>
      </c>
      <c r="Q93" s="38"/>
      <c r="R93" s="38"/>
      <c r="S93" s="38"/>
      <c r="T93" s="38"/>
      <c r="U93" s="38"/>
      <c r="V93" s="38"/>
      <c r="W93" s="38"/>
      <c r="X93" s="38"/>
      <c r="Y93" s="9"/>
    </row>
    <row r="94" spans="1:25" hidden="1" x14ac:dyDescent="0.25">
      <c r="A94" s="5" t="s">
        <v>24</v>
      </c>
      <c r="B94" s="9" t="s">
        <v>28</v>
      </c>
      <c r="C94" s="9" t="s">
        <v>399</v>
      </c>
      <c r="D94" s="9" t="s">
        <v>542</v>
      </c>
      <c r="E94" s="22">
        <v>45889</v>
      </c>
      <c r="F94" s="9">
        <v>2</v>
      </c>
      <c r="G94" s="10" t="s">
        <v>55</v>
      </c>
      <c r="H94" s="9" t="s">
        <v>85</v>
      </c>
      <c r="I94" s="9">
        <v>108</v>
      </c>
      <c r="J94" s="9" t="s">
        <v>178</v>
      </c>
      <c r="K94" s="38">
        <f t="shared" si="7"/>
        <v>108</v>
      </c>
      <c r="L94" s="38">
        <f t="shared" si="8"/>
        <v>19.756666666666668</v>
      </c>
      <c r="M94" s="38">
        <f t="shared" si="9"/>
        <v>88.243333333333339</v>
      </c>
      <c r="N94" s="53">
        <v>103.19</v>
      </c>
      <c r="O94" s="38">
        <f t="shared" si="5"/>
        <v>19.756666666666668</v>
      </c>
      <c r="P94" s="38">
        <f t="shared" si="6"/>
        <v>83.433333333333337</v>
      </c>
      <c r="Q94" s="38"/>
      <c r="R94" s="38"/>
      <c r="S94" s="38"/>
      <c r="T94" s="38"/>
      <c r="U94" s="38"/>
      <c r="V94" s="38"/>
      <c r="W94" s="38"/>
      <c r="X94" s="38"/>
      <c r="Y94" s="9"/>
    </row>
    <row r="95" spans="1:25" ht="30" hidden="1" x14ac:dyDescent="0.25">
      <c r="A95" s="5" t="s">
        <v>24</v>
      </c>
      <c r="B95" s="9" t="s">
        <v>29</v>
      </c>
      <c r="C95" s="9" t="s">
        <v>399</v>
      </c>
      <c r="D95" s="9" t="s">
        <v>526</v>
      </c>
      <c r="E95" s="22">
        <v>45888</v>
      </c>
      <c r="F95" s="9">
        <v>2</v>
      </c>
      <c r="G95" s="10" t="s">
        <v>55</v>
      </c>
      <c r="H95" s="9" t="s">
        <v>85</v>
      </c>
      <c r="I95" s="9">
        <v>124</v>
      </c>
      <c r="J95" s="9" t="s">
        <v>191</v>
      </c>
      <c r="K95" s="38">
        <f t="shared" si="7"/>
        <v>124</v>
      </c>
      <c r="L95" s="38">
        <f t="shared" si="8"/>
        <v>19.756666666666668</v>
      </c>
      <c r="M95" s="38">
        <f t="shared" si="9"/>
        <v>104.24333333333334</v>
      </c>
      <c r="N95" s="53">
        <v>117.88</v>
      </c>
      <c r="O95" s="38">
        <f t="shared" si="5"/>
        <v>19.756666666666668</v>
      </c>
      <c r="P95" s="38">
        <f t="shared" si="6"/>
        <v>98.123333333333335</v>
      </c>
      <c r="Q95" s="38"/>
      <c r="R95" s="38"/>
      <c r="S95" s="38"/>
      <c r="T95" s="38"/>
      <c r="U95" s="38"/>
      <c r="V95" s="38"/>
      <c r="W95" s="38"/>
      <c r="X95" s="38"/>
      <c r="Y95" s="9"/>
    </row>
    <row r="96" spans="1:25" hidden="1" x14ac:dyDescent="0.25">
      <c r="A96" s="5" t="s">
        <v>24</v>
      </c>
      <c r="B96" s="9" t="s">
        <v>30</v>
      </c>
      <c r="C96" s="9" t="s">
        <v>399</v>
      </c>
      <c r="D96" s="9" t="s">
        <v>510</v>
      </c>
      <c r="E96" s="22">
        <v>45889</v>
      </c>
      <c r="F96" s="9">
        <v>2</v>
      </c>
      <c r="G96" s="10" t="s">
        <v>55</v>
      </c>
      <c r="H96" s="9" t="s">
        <v>116</v>
      </c>
      <c r="I96" s="9">
        <v>166</v>
      </c>
      <c r="J96" s="9" t="s">
        <v>201</v>
      </c>
      <c r="K96" s="38">
        <f t="shared" si="7"/>
        <v>166</v>
      </c>
      <c r="L96" s="38">
        <f t="shared" si="8"/>
        <v>19.756666666666668</v>
      </c>
      <c r="M96" s="38">
        <f t="shared" si="9"/>
        <v>146.24333333333334</v>
      </c>
      <c r="N96" s="53">
        <v>144.5</v>
      </c>
      <c r="O96" s="38">
        <f t="shared" si="5"/>
        <v>19.756666666666668</v>
      </c>
      <c r="P96" s="38">
        <f t="shared" si="6"/>
        <v>124.74333333333334</v>
      </c>
      <c r="Q96" s="38"/>
      <c r="R96" s="38"/>
      <c r="S96" s="38"/>
      <c r="T96" s="38"/>
      <c r="U96" s="38"/>
      <c r="V96" s="38"/>
      <c r="W96" s="38"/>
      <c r="X96" s="38"/>
      <c r="Y96" s="9"/>
    </row>
    <row r="97" spans="1:25" hidden="1" x14ac:dyDescent="0.25">
      <c r="A97" s="5" t="s">
        <v>24</v>
      </c>
      <c r="B97" s="9" t="s">
        <v>31</v>
      </c>
      <c r="C97" s="9" t="s">
        <v>399</v>
      </c>
      <c r="D97" s="9" t="s">
        <v>494</v>
      </c>
      <c r="E97" s="22">
        <v>45890</v>
      </c>
      <c r="F97" s="9">
        <v>2</v>
      </c>
      <c r="G97" s="10" t="s">
        <v>55</v>
      </c>
      <c r="H97" s="9" t="s">
        <v>85</v>
      </c>
      <c r="I97" s="9">
        <v>108</v>
      </c>
      <c r="J97" s="9" t="s">
        <v>219</v>
      </c>
      <c r="K97" s="38">
        <f t="shared" si="7"/>
        <v>108</v>
      </c>
      <c r="L97" s="38">
        <f t="shared" si="8"/>
        <v>19.756666666666668</v>
      </c>
      <c r="M97" s="38">
        <f t="shared" si="9"/>
        <v>88.243333333333339</v>
      </c>
      <c r="N97" s="53">
        <v>96.9</v>
      </c>
      <c r="O97" s="38">
        <f t="shared" si="5"/>
        <v>19.756666666666668</v>
      </c>
      <c r="P97" s="38">
        <f t="shared" si="6"/>
        <v>77.143333333333345</v>
      </c>
      <c r="Q97" s="38"/>
      <c r="R97" s="38"/>
      <c r="S97" s="38"/>
      <c r="T97" s="38"/>
      <c r="U97" s="38"/>
      <c r="V97" s="38"/>
      <c r="W97" s="38"/>
      <c r="X97" s="38"/>
      <c r="Y97" s="9"/>
    </row>
    <row r="98" spans="1:25" hidden="1" x14ac:dyDescent="0.25">
      <c r="A98" s="5" t="s">
        <v>24</v>
      </c>
      <c r="B98" s="9" t="s">
        <v>27</v>
      </c>
      <c r="C98" s="9" t="s">
        <v>400</v>
      </c>
      <c r="D98" s="9" t="s">
        <v>559</v>
      </c>
      <c r="E98" s="22">
        <v>45888</v>
      </c>
      <c r="F98" s="9">
        <v>2</v>
      </c>
      <c r="G98" s="10" t="s">
        <v>56</v>
      </c>
      <c r="H98" s="9" t="s">
        <v>85</v>
      </c>
      <c r="I98" s="9">
        <v>111</v>
      </c>
      <c r="J98" s="9" t="s">
        <v>160</v>
      </c>
      <c r="K98" s="38">
        <f t="shared" si="7"/>
        <v>111</v>
      </c>
      <c r="L98" s="38">
        <f t="shared" si="8"/>
        <v>19.756666666666668</v>
      </c>
      <c r="M98" s="38">
        <f t="shared" si="9"/>
        <v>91.243333333333339</v>
      </c>
      <c r="N98" s="53">
        <v>103.28</v>
      </c>
      <c r="O98" s="38">
        <f t="shared" si="5"/>
        <v>19.756666666666668</v>
      </c>
      <c r="P98" s="38">
        <f t="shared" si="6"/>
        <v>83.523333333333341</v>
      </c>
      <c r="Q98" s="38"/>
      <c r="R98" s="38"/>
      <c r="S98" s="38"/>
      <c r="T98" s="38"/>
      <c r="U98" s="38"/>
      <c r="V98" s="38"/>
      <c r="W98" s="38"/>
      <c r="X98" s="38"/>
      <c r="Y98" s="9"/>
    </row>
    <row r="99" spans="1:25" ht="30" hidden="1" x14ac:dyDescent="0.25">
      <c r="A99" s="5" t="s">
        <v>24</v>
      </c>
      <c r="B99" s="9" t="s">
        <v>28</v>
      </c>
      <c r="C99" s="9" t="s">
        <v>400</v>
      </c>
      <c r="D99" s="9" t="s">
        <v>543</v>
      </c>
      <c r="E99" s="22">
        <v>45889</v>
      </c>
      <c r="F99" s="9">
        <v>2</v>
      </c>
      <c r="G99" s="10" t="s">
        <v>56</v>
      </c>
      <c r="H99" s="9" t="s">
        <v>85</v>
      </c>
      <c r="I99" s="9">
        <v>128</v>
      </c>
      <c r="J99" s="9" t="s">
        <v>179</v>
      </c>
      <c r="K99" s="38">
        <f t="shared" si="7"/>
        <v>128</v>
      </c>
      <c r="L99" s="38">
        <f t="shared" si="8"/>
        <v>19.756666666666668</v>
      </c>
      <c r="M99" s="38">
        <f t="shared" si="9"/>
        <v>108.24333333333334</v>
      </c>
      <c r="N99" s="53">
        <v>123.25</v>
      </c>
      <c r="O99" s="38">
        <f t="shared" si="5"/>
        <v>19.756666666666668</v>
      </c>
      <c r="P99" s="38">
        <f t="shared" si="6"/>
        <v>103.49333333333334</v>
      </c>
      <c r="Q99" s="38"/>
      <c r="R99" s="38"/>
      <c r="S99" s="38"/>
      <c r="T99" s="38"/>
      <c r="U99" s="38"/>
      <c r="V99" s="38"/>
      <c r="W99" s="38"/>
      <c r="X99" s="38"/>
      <c r="Y99" s="9"/>
    </row>
    <row r="100" spans="1:25" hidden="1" x14ac:dyDescent="0.25">
      <c r="A100" s="5" t="s">
        <v>24</v>
      </c>
      <c r="B100" s="9" t="s">
        <v>29</v>
      </c>
      <c r="C100" s="9" t="s">
        <v>400</v>
      </c>
      <c r="D100" s="9" t="s">
        <v>527</v>
      </c>
      <c r="E100" s="22">
        <v>45888</v>
      </c>
      <c r="F100" s="9">
        <v>2</v>
      </c>
      <c r="G100" s="10" t="s">
        <v>56</v>
      </c>
      <c r="H100" s="9" t="s">
        <v>85</v>
      </c>
      <c r="I100" s="9">
        <v>125</v>
      </c>
      <c r="J100" s="9" t="s">
        <v>192</v>
      </c>
      <c r="K100" s="38">
        <f t="shared" si="7"/>
        <v>125</v>
      </c>
      <c r="L100" s="38">
        <f t="shared" si="8"/>
        <v>19.756666666666668</v>
      </c>
      <c r="M100" s="38">
        <f t="shared" si="9"/>
        <v>105.24333333333334</v>
      </c>
      <c r="N100" s="53">
        <v>118.48</v>
      </c>
      <c r="O100" s="38">
        <f t="shared" si="5"/>
        <v>19.756666666666668</v>
      </c>
      <c r="P100" s="38">
        <f t="shared" si="6"/>
        <v>98.723333333333329</v>
      </c>
      <c r="Q100" s="38"/>
      <c r="R100" s="38"/>
      <c r="S100" s="38"/>
      <c r="T100" s="38"/>
      <c r="U100" s="38"/>
      <c r="V100" s="38"/>
      <c r="W100" s="38"/>
      <c r="X100" s="38"/>
      <c r="Y100" s="9"/>
    </row>
    <row r="101" spans="1:25" hidden="1" x14ac:dyDescent="0.25">
      <c r="A101" s="5" t="s">
        <v>24</v>
      </c>
      <c r="B101" s="9" t="s">
        <v>30</v>
      </c>
      <c r="C101" s="9" t="s">
        <v>400</v>
      </c>
      <c r="D101" s="9" t="s">
        <v>511</v>
      </c>
      <c r="E101" s="22">
        <v>45889</v>
      </c>
      <c r="F101" s="9">
        <v>2</v>
      </c>
      <c r="G101" s="10" t="s">
        <v>56</v>
      </c>
      <c r="H101" s="9" t="s">
        <v>116</v>
      </c>
      <c r="I101" s="9">
        <v>154</v>
      </c>
      <c r="J101" s="9" t="s">
        <v>205</v>
      </c>
      <c r="K101" s="38">
        <f t="shared" si="7"/>
        <v>154</v>
      </c>
      <c r="L101" s="38">
        <f t="shared" si="8"/>
        <v>19.756666666666668</v>
      </c>
      <c r="M101" s="38">
        <f t="shared" si="9"/>
        <v>134.24333333333334</v>
      </c>
      <c r="N101" s="53">
        <v>141.19</v>
      </c>
      <c r="O101" s="38">
        <f t="shared" si="5"/>
        <v>19.756666666666668</v>
      </c>
      <c r="P101" s="38">
        <f t="shared" si="6"/>
        <v>121.43333333333334</v>
      </c>
      <c r="Q101" s="38"/>
      <c r="R101" s="38"/>
      <c r="S101" s="38"/>
      <c r="T101" s="38"/>
      <c r="U101" s="38"/>
      <c r="V101" s="38"/>
      <c r="W101" s="38"/>
      <c r="X101" s="38"/>
      <c r="Y101" s="9"/>
    </row>
    <row r="102" spans="1:25" hidden="1" x14ac:dyDescent="0.25">
      <c r="A102" s="5" t="s">
        <v>24</v>
      </c>
      <c r="B102" s="9" t="s">
        <v>31</v>
      </c>
      <c r="C102" s="9" t="s">
        <v>400</v>
      </c>
      <c r="D102" s="9" t="s">
        <v>495</v>
      </c>
      <c r="E102" s="22">
        <v>45890</v>
      </c>
      <c r="F102" s="9">
        <v>2</v>
      </c>
      <c r="G102" s="10" t="s">
        <v>56</v>
      </c>
      <c r="H102" s="9" t="s">
        <v>85</v>
      </c>
      <c r="I102" s="9">
        <v>127</v>
      </c>
      <c r="J102" s="9" t="s">
        <v>220</v>
      </c>
      <c r="K102" s="38">
        <f t="shared" si="7"/>
        <v>127</v>
      </c>
      <c r="L102" s="38">
        <f t="shared" si="8"/>
        <v>19.756666666666668</v>
      </c>
      <c r="M102" s="38">
        <f t="shared" si="9"/>
        <v>107.24333333333334</v>
      </c>
      <c r="N102" s="53">
        <v>117.81</v>
      </c>
      <c r="O102" s="38">
        <f t="shared" si="5"/>
        <v>19.756666666666668</v>
      </c>
      <c r="P102" s="38">
        <f t="shared" si="6"/>
        <v>98.053333333333342</v>
      </c>
      <c r="Q102" s="38"/>
      <c r="R102" s="38"/>
      <c r="S102" s="38"/>
      <c r="T102" s="38"/>
      <c r="U102" s="38"/>
      <c r="V102" s="38"/>
      <c r="W102" s="38"/>
      <c r="X102" s="38"/>
      <c r="Y102" s="9"/>
    </row>
    <row r="103" spans="1:25" hidden="1" x14ac:dyDescent="0.25">
      <c r="A103" s="5" t="s">
        <v>24</v>
      </c>
      <c r="B103" s="9" t="s">
        <v>27</v>
      </c>
      <c r="C103" s="9" t="s">
        <v>32</v>
      </c>
      <c r="D103" s="9" t="s">
        <v>559</v>
      </c>
      <c r="E103" s="22">
        <v>45888</v>
      </c>
      <c r="F103" s="9">
        <v>2</v>
      </c>
      <c r="G103" s="10" t="s">
        <v>57</v>
      </c>
      <c r="H103" s="9" t="s">
        <v>85</v>
      </c>
      <c r="I103" s="9">
        <v>107</v>
      </c>
      <c r="J103" s="9" t="s">
        <v>161</v>
      </c>
      <c r="K103" s="38">
        <f t="shared" si="7"/>
        <v>107</v>
      </c>
      <c r="L103" s="38">
        <f t="shared" si="8"/>
        <v>19.756666666666668</v>
      </c>
      <c r="M103" s="38">
        <f t="shared" si="9"/>
        <v>87.243333333333339</v>
      </c>
      <c r="N103" s="53">
        <v>98.07</v>
      </c>
      <c r="O103" s="38">
        <f t="shared" si="5"/>
        <v>19.756666666666668</v>
      </c>
      <c r="P103" s="38">
        <f t="shared" si="6"/>
        <v>78.313333333333333</v>
      </c>
      <c r="Q103" s="38"/>
      <c r="R103" s="38"/>
      <c r="S103" s="38"/>
      <c r="T103" s="38"/>
      <c r="U103" s="38"/>
      <c r="V103" s="38"/>
      <c r="W103" s="38"/>
      <c r="X103" s="38"/>
      <c r="Y103" s="9"/>
    </row>
    <row r="104" spans="1:25" hidden="1" x14ac:dyDescent="0.25">
      <c r="A104" s="5" t="s">
        <v>24</v>
      </c>
      <c r="B104" s="9" t="s">
        <v>28</v>
      </c>
      <c r="C104" s="9" t="s">
        <v>32</v>
      </c>
      <c r="D104" s="9" t="s">
        <v>543</v>
      </c>
      <c r="E104" s="22">
        <v>45889</v>
      </c>
      <c r="F104" s="9">
        <v>2</v>
      </c>
      <c r="G104" s="10" t="s">
        <v>57</v>
      </c>
      <c r="H104" s="9" t="s">
        <v>85</v>
      </c>
      <c r="I104" s="9">
        <v>113</v>
      </c>
      <c r="J104" s="9" t="s">
        <v>180</v>
      </c>
      <c r="K104" s="38">
        <f t="shared" si="7"/>
        <v>113</v>
      </c>
      <c r="L104" s="38">
        <f t="shared" si="8"/>
        <v>19.756666666666668</v>
      </c>
      <c r="M104" s="38">
        <f t="shared" si="9"/>
        <v>93.243333333333339</v>
      </c>
      <c r="N104" s="53">
        <v>108.04</v>
      </c>
      <c r="O104" s="38">
        <f t="shared" si="5"/>
        <v>19.756666666666668</v>
      </c>
      <c r="P104" s="38">
        <f t="shared" si="6"/>
        <v>88.283333333333331</v>
      </c>
      <c r="Q104" s="38"/>
      <c r="R104" s="38"/>
      <c r="S104" s="38"/>
      <c r="T104" s="38"/>
      <c r="U104" s="38"/>
      <c r="V104" s="38"/>
      <c r="W104" s="38"/>
      <c r="X104" s="38"/>
      <c r="Y104" s="9"/>
    </row>
    <row r="105" spans="1:25" hidden="1" x14ac:dyDescent="0.25">
      <c r="A105" s="5" t="s">
        <v>24</v>
      </c>
      <c r="B105" s="9" t="s">
        <v>29</v>
      </c>
      <c r="C105" s="9" t="s">
        <v>32</v>
      </c>
      <c r="D105" s="9" t="s">
        <v>527</v>
      </c>
      <c r="E105" s="22">
        <v>45888</v>
      </c>
      <c r="F105" s="9">
        <v>2</v>
      </c>
      <c r="G105" s="10" t="s">
        <v>57</v>
      </c>
      <c r="H105" s="9" t="s">
        <v>85</v>
      </c>
      <c r="I105" s="9">
        <v>108</v>
      </c>
      <c r="J105" s="9" t="s">
        <v>193</v>
      </c>
      <c r="K105" s="38">
        <f t="shared" si="7"/>
        <v>108</v>
      </c>
      <c r="L105" s="38">
        <f t="shared" si="8"/>
        <v>19.756666666666668</v>
      </c>
      <c r="M105" s="38">
        <f t="shared" si="9"/>
        <v>88.243333333333339</v>
      </c>
      <c r="N105" s="53">
        <v>101.73</v>
      </c>
      <c r="O105" s="38">
        <f t="shared" si="5"/>
        <v>19.756666666666668</v>
      </c>
      <c r="P105" s="38">
        <f t="shared" si="6"/>
        <v>81.973333333333329</v>
      </c>
      <c r="Q105" s="38"/>
      <c r="R105" s="38"/>
      <c r="S105" s="38"/>
      <c r="T105" s="38"/>
      <c r="U105" s="38"/>
      <c r="V105" s="38"/>
      <c r="W105" s="38"/>
      <c r="X105" s="38"/>
      <c r="Y105" s="9"/>
    </row>
    <row r="106" spans="1:25" hidden="1" x14ac:dyDescent="0.25">
      <c r="A106" s="5" t="s">
        <v>24</v>
      </c>
      <c r="B106" s="9" t="s">
        <v>30</v>
      </c>
      <c r="C106" s="9" t="s">
        <v>32</v>
      </c>
      <c r="D106" s="9" t="s">
        <v>511</v>
      </c>
      <c r="E106" s="22">
        <v>45889</v>
      </c>
      <c r="F106" s="9">
        <v>2</v>
      </c>
      <c r="G106" s="10" t="s">
        <v>57</v>
      </c>
      <c r="H106" s="9" t="s">
        <v>85</v>
      </c>
      <c r="I106" s="9">
        <v>138</v>
      </c>
      <c r="J106" s="9" t="s">
        <v>206</v>
      </c>
      <c r="K106" s="38">
        <f t="shared" si="7"/>
        <v>138</v>
      </c>
      <c r="L106" s="38">
        <f t="shared" si="8"/>
        <v>19.756666666666668</v>
      </c>
      <c r="M106" s="38">
        <f t="shared" si="9"/>
        <v>118.24333333333334</v>
      </c>
      <c r="N106" s="53">
        <v>126.38</v>
      </c>
      <c r="O106" s="38">
        <f t="shared" si="5"/>
        <v>19.756666666666668</v>
      </c>
      <c r="P106" s="38">
        <f t="shared" si="6"/>
        <v>106.62333333333333</v>
      </c>
      <c r="Q106" s="38"/>
      <c r="R106" s="38"/>
      <c r="S106" s="38"/>
      <c r="T106" s="38"/>
      <c r="U106" s="38"/>
      <c r="V106" s="38"/>
      <c r="W106" s="38"/>
      <c r="X106" s="38"/>
      <c r="Y106" s="9"/>
    </row>
    <row r="107" spans="1:25" hidden="1" x14ac:dyDescent="0.25">
      <c r="A107" s="5" t="s">
        <v>24</v>
      </c>
      <c r="B107" s="9" t="s">
        <v>31</v>
      </c>
      <c r="C107" s="9" t="s">
        <v>32</v>
      </c>
      <c r="D107" s="9" t="s">
        <v>495</v>
      </c>
      <c r="E107" s="22">
        <v>45890</v>
      </c>
      <c r="F107" s="9">
        <v>2</v>
      </c>
      <c r="G107" s="10" t="s">
        <v>57</v>
      </c>
      <c r="H107" s="9" t="s">
        <v>85</v>
      </c>
      <c r="I107" s="9">
        <v>108</v>
      </c>
      <c r="J107" s="9" t="s">
        <v>220</v>
      </c>
      <c r="K107" s="38">
        <f t="shared" si="7"/>
        <v>108</v>
      </c>
      <c r="L107" s="38">
        <f t="shared" si="8"/>
        <v>19.756666666666668</v>
      </c>
      <c r="M107" s="38">
        <f t="shared" si="9"/>
        <v>88.243333333333339</v>
      </c>
      <c r="N107" s="53">
        <v>98.36</v>
      </c>
      <c r="O107" s="38">
        <f t="shared" si="5"/>
        <v>19.756666666666668</v>
      </c>
      <c r="P107" s="38">
        <f t="shared" si="6"/>
        <v>78.603333333333325</v>
      </c>
      <c r="Q107" s="38"/>
      <c r="R107" s="38"/>
      <c r="S107" s="38"/>
      <c r="T107" s="38"/>
      <c r="U107" s="38"/>
      <c r="V107" s="38"/>
      <c r="W107" s="38"/>
      <c r="X107" s="38"/>
      <c r="Y107" s="9"/>
    </row>
    <row r="108" spans="1:25" hidden="1" x14ac:dyDescent="0.25">
      <c r="A108" s="5" t="s">
        <v>23</v>
      </c>
      <c r="B108" s="9" t="s">
        <v>27</v>
      </c>
      <c r="C108" s="9" t="s">
        <v>41</v>
      </c>
      <c r="D108" s="9" t="s">
        <v>585</v>
      </c>
      <c r="E108" s="22">
        <v>45887</v>
      </c>
      <c r="F108" s="9">
        <v>1</v>
      </c>
      <c r="G108" s="10" t="s">
        <v>66</v>
      </c>
      <c r="H108" s="9" t="s">
        <v>74</v>
      </c>
      <c r="I108" s="9">
        <v>64</v>
      </c>
      <c r="J108" s="9" t="s">
        <v>91</v>
      </c>
      <c r="K108" s="38">
        <f t="shared" si="7"/>
        <v>64</v>
      </c>
      <c r="L108" s="38">
        <f t="shared" si="8"/>
        <v>19.756666666666668</v>
      </c>
      <c r="M108" s="38">
        <f t="shared" si="9"/>
        <v>44.243333333333332</v>
      </c>
      <c r="N108" s="38"/>
      <c r="O108" s="38">
        <f t="shared" si="5"/>
        <v>19.756666666666668</v>
      </c>
      <c r="P108" s="38">
        <f t="shared" si="6"/>
        <v>-19.756666666666668</v>
      </c>
      <c r="Q108" s="38"/>
      <c r="R108" s="38"/>
      <c r="S108" s="38"/>
      <c r="T108" s="38"/>
      <c r="U108" s="38"/>
      <c r="V108" s="38"/>
      <c r="W108" s="38"/>
      <c r="X108" s="38"/>
      <c r="Y108" s="31"/>
    </row>
    <row r="109" spans="1:25" ht="30" hidden="1" x14ac:dyDescent="0.25">
      <c r="A109" s="5" t="s">
        <v>23</v>
      </c>
      <c r="B109" s="9" t="s">
        <v>28</v>
      </c>
      <c r="C109" s="9" t="s">
        <v>41</v>
      </c>
      <c r="D109" s="9" t="s">
        <v>601</v>
      </c>
      <c r="E109" s="22">
        <v>45888</v>
      </c>
      <c r="F109" s="9">
        <v>1</v>
      </c>
      <c r="G109" s="10" t="s">
        <v>66</v>
      </c>
      <c r="H109" s="9" t="s">
        <v>85</v>
      </c>
      <c r="I109" s="9">
        <v>60</v>
      </c>
      <c r="J109" s="9" t="s">
        <v>103</v>
      </c>
      <c r="K109" s="38">
        <f t="shared" si="7"/>
        <v>60</v>
      </c>
      <c r="L109" s="38">
        <f t="shared" si="8"/>
        <v>19.756666666666668</v>
      </c>
      <c r="M109" s="38">
        <f t="shared" si="9"/>
        <v>40.243333333333332</v>
      </c>
      <c r="N109" s="38"/>
      <c r="O109" s="38">
        <f t="shared" si="5"/>
        <v>19.756666666666668</v>
      </c>
      <c r="P109" s="38">
        <f t="shared" si="6"/>
        <v>-19.756666666666668</v>
      </c>
      <c r="Q109" s="38"/>
      <c r="R109" s="38"/>
      <c r="S109" s="38"/>
      <c r="T109" s="38"/>
      <c r="U109" s="38"/>
      <c r="V109" s="38"/>
      <c r="W109" s="38"/>
      <c r="X109" s="38"/>
      <c r="Y109" s="9"/>
    </row>
    <row r="110" spans="1:25" hidden="1" x14ac:dyDescent="0.25">
      <c r="A110" s="5" t="s">
        <v>23</v>
      </c>
      <c r="B110" s="9" t="s">
        <v>29</v>
      </c>
      <c r="C110" s="9" t="s">
        <v>41</v>
      </c>
      <c r="D110" s="9" t="s">
        <v>617</v>
      </c>
      <c r="E110" s="22">
        <v>45888</v>
      </c>
      <c r="F110" s="9">
        <v>1</v>
      </c>
      <c r="G110" s="10" t="s">
        <v>66</v>
      </c>
      <c r="H110" s="9" t="s">
        <v>74</v>
      </c>
      <c r="I110" s="9">
        <v>54</v>
      </c>
      <c r="J110" s="9" t="s">
        <v>114</v>
      </c>
      <c r="K110" s="38">
        <f t="shared" si="7"/>
        <v>54</v>
      </c>
      <c r="L110" s="38">
        <f t="shared" si="8"/>
        <v>19.756666666666668</v>
      </c>
      <c r="M110" s="38">
        <f t="shared" si="9"/>
        <v>34.243333333333332</v>
      </c>
      <c r="N110" s="38"/>
      <c r="O110" s="38">
        <f t="shared" si="5"/>
        <v>19.756666666666668</v>
      </c>
      <c r="P110" s="38">
        <f t="shared" si="6"/>
        <v>-19.756666666666668</v>
      </c>
      <c r="Q110" s="38"/>
      <c r="R110" s="38"/>
      <c r="S110" s="38"/>
      <c r="T110" s="38"/>
      <c r="U110" s="38"/>
      <c r="V110" s="38"/>
      <c r="W110" s="38"/>
      <c r="X110" s="38"/>
      <c r="Y110" s="9"/>
    </row>
    <row r="111" spans="1:25" hidden="1" x14ac:dyDescent="0.25">
      <c r="A111" s="5" t="s">
        <v>23</v>
      </c>
      <c r="B111" s="9" t="s">
        <v>30</v>
      </c>
      <c r="C111" s="9" t="s">
        <v>41</v>
      </c>
      <c r="D111" s="9" t="s">
        <v>633</v>
      </c>
      <c r="E111" s="22">
        <v>45888</v>
      </c>
      <c r="F111" s="9">
        <v>1</v>
      </c>
      <c r="G111" s="10" t="s">
        <v>66</v>
      </c>
      <c r="H111" s="9" t="s">
        <v>74</v>
      </c>
      <c r="I111" s="9">
        <v>43</v>
      </c>
      <c r="J111" s="9" t="s">
        <v>133</v>
      </c>
      <c r="K111" s="38">
        <f t="shared" si="7"/>
        <v>43</v>
      </c>
      <c r="L111" s="38">
        <f t="shared" si="8"/>
        <v>19.756666666666668</v>
      </c>
      <c r="M111" s="38">
        <f t="shared" si="9"/>
        <v>23.243333333333332</v>
      </c>
      <c r="N111" s="38"/>
      <c r="O111" s="38">
        <f t="shared" si="5"/>
        <v>19.756666666666668</v>
      </c>
      <c r="P111" s="38">
        <f t="shared" si="6"/>
        <v>-19.756666666666668</v>
      </c>
      <c r="Q111" s="38"/>
      <c r="R111" s="38"/>
      <c r="S111" s="38"/>
      <c r="T111" s="38"/>
      <c r="U111" s="38"/>
      <c r="V111" s="38"/>
      <c r="W111" s="38"/>
      <c r="X111" s="38"/>
      <c r="Y111" s="9"/>
    </row>
    <row r="112" spans="1:25" hidden="1" x14ac:dyDescent="0.25">
      <c r="A112" s="5" t="s">
        <v>23</v>
      </c>
      <c r="B112" s="9" t="s">
        <v>31</v>
      </c>
      <c r="C112" s="9" t="s">
        <v>41</v>
      </c>
      <c r="D112" s="9" t="s">
        <v>648</v>
      </c>
      <c r="E112" s="22">
        <v>45887</v>
      </c>
      <c r="F112" s="9">
        <v>1</v>
      </c>
      <c r="G112" s="10" t="s">
        <v>66</v>
      </c>
      <c r="H112" s="9" t="s">
        <v>74</v>
      </c>
      <c r="I112" s="9">
        <v>39</v>
      </c>
      <c r="J112" s="9" t="s">
        <v>150</v>
      </c>
      <c r="K112" s="38">
        <f t="shared" si="7"/>
        <v>39</v>
      </c>
      <c r="L112" s="38">
        <f t="shared" si="8"/>
        <v>19.756666666666668</v>
      </c>
      <c r="M112" s="38">
        <f t="shared" si="9"/>
        <v>19.243333333333332</v>
      </c>
      <c r="N112" s="38"/>
      <c r="O112" s="38">
        <f t="shared" si="5"/>
        <v>19.756666666666668</v>
      </c>
      <c r="P112" s="38">
        <f t="shared" si="6"/>
        <v>-19.756666666666668</v>
      </c>
      <c r="Q112" s="38"/>
      <c r="R112" s="38"/>
      <c r="S112" s="38"/>
      <c r="T112" s="38"/>
      <c r="U112" s="38"/>
      <c r="V112" s="38"/>
      <c r="W112" s="38"/>
      <c r="X112" s="38"/>
      <c r="Y112" s="9"/>
    </row>
    <row r="113" spans="1:25" hidden="1" x14ac:dyDescent="0.25">
      <c r="A113" s="5" t="s">
        <v>23</v>
      </c>
      <c r="B113" s="9" t="s">
        <v>27</v>
      </c>
      <c r="C113" s="9" t="s">
        <v>40</v>
      </c>
      <c r="D113" s="9" t="s">
        <v>584</v>
      </c>
      <c r="E113" s="22">
        <v>45887</v>
      </c>
      <c r="F113" s="9">
        <v>1</v>
      </c>
      <c r="G113" s="10" t="s">
        <v>65</v>
      </c>
      <c r="H113" s="9" t="s">
        <v>74</v>
      </c>
      <c r="I113" s="9">
        <v>64</v>
      </c>
      <c r="J113" s="9" t="s">
        <v>91</v>
      </c>
      <c r="K113" s="38">
        <f t="shared" si="7"/>
        <v>64</v>
      </c>
      <c r="L113" s="38">
        <f t="shared" si="8"/>
        <v>19.756666666666668</v>
      </c>
      <c r="M113" s="38">
        <f t="shared" si="9"/>
        <v>44.243333333333332</v>
      </c>
      <c r="N113" s="38"/>
      <c r="O113" s="38">
        <f t="shared" si="5"/>
        <v>19.756666666666668</v>
      </c>
      <c r="P113" s="38">
        <f t="shared" si="6"/>
        <v>-19.756666666666668</v>
      </c>
      <c r="Q113" s="38"/>
      <c r="R113" s="38"/>
      <c r="S113" s="38"/>
      <c r="T113" s="38"/>
      <c r="U113" s="38"/>
      <c r="V113" s="38"/>
      <c r="W113" s="38"/>
      <c r="X113" s="38"/>
      <c r="Y113" s="9"/>
    </row>
    <row r="114" spans="1:25" ht="30" hidden="1" x14ac:dyDescent="0.25">
      <c r="A114" s="5" t="s">
        <v>23</v>
      </c>
      <c r="B114" s="9" t="s">
        <v>28</v>
      </c>
      <c r="C114" s="9" t="s">
        <v>40</v>
      </c>
      <c r="D114" s="9" t="s">
        <v>600</v>
      </c>
      <c r="E114" s="22">
        <v>45888</v>
      </c>
      <c r="F114" s="9">
        <v>1</v>
      </c>
      <c r="G114" s="10" t="s">
        <v>65</v>
      </c>
      <c r="H114" s="9" t="s">
        <v>85</v>
      </c>
      <c r="I114" s="9">
        <v>78</v>
      </c>
      <c r="J114" s="9" t="s">
        <v>103</v>
      </c>
      <c r="K114" s="38">
        <f t="shared" si="7"/>
        <v>78</v>
      </c>
      <c r="L114" s="38">
        <f t="shared" si="8"/>
        <v>19.756666666666668</v>
      </c>
      <c r="M114" s="38">
        <f t="shared" si="9"/>
        <v>58.243333333333332</v>
      </c>
      <c r="N114" s="38"/>
      <c r="O114" s="38">
        <f t="shared" ref="O114:O177" si="10">AVERAGE(19.9,19.77,19.6)</f>
        <v>19.756666666666668</v>
      </c>
      <c r="P114" s="38">
        <f t="shared" ref="P114:P177" si="11">N114-O114</f>
        <v>-19.756666666666668</v>
      </c>
      <c r="Q114" s="38"/>
      <c r="R114" s="38"/>
      <c r="S114" s="38"/>
      <c r="T114" s="38"/>
      <c r="U114" s="38"/>
      <c r="V114" s="38"/>
      <c r="W114" s="38"/>
      <c r="X114" s="38"/>
      <c r="Y114" s="9"/>
    </row>
    <row r="115" spans="1:25" hidden="1" x14ac:dyDescent="0.25">
      <c r="A115" s="5" t="s">
        <v>23</v>
      </c>
      <c r="B115" s="9" t="s">
        <v>29</v>
      </c>
      <c r="C115" s="9" t="s">
        <v>40</v>
      </c>
      <c r="D115" s="9" t="s">
        <v>616</v>
      </c>
      <c r="E115" s="22">
        <v>45888</v>
      </c>
      <c r="F115" s="9">
        <v>1</v>
      </c>
      <c r="G115" s="10" t="s">
        <v>65</v>
      </c>
      <c r="H115" s="9" t="s">
        <v>71</v>
      </c>
      <c r="I115" s="9">
        <v>47</v>
      </c>
      <c r="J115" s="9" t="s">
        <v>113</v>
      </c>
      <c r="K115" s="38">
        <f t="shared" si="7"/>
        <v>47</v>
      </c>
      <c r="L115" s="38">
        <f t="shared" si="8"/>
        <v>19.756666666666668</v>
      </c>
      <c r="M115" s="38">
        <f t="shared" si="9"/>
        <v>27.243333333333332</v>
      </c>
      <c r="N115" s="38"/>
      <c r="O115" s="38">
        <f t="shared" si="10"/>
        <v>19.756666666666668</v>
      </c>
      <c r="P115" s="38">
        <f t="shared" si="11"/>
        <v>-19.756666666666668</v>
      </c>
      <c r="Q115" s="38"/>
      <c r="R115" s="38"/>
      <c r="S115" s="38"/>
      <c r="T115" s="38"/>
      <c r="U115" s="38"/>
      <c r="V115" s="38"/>
      <c r="W115" s="38"/>
      <c r="X115" s="38"/>
      <c r="Y115" s="9"/>
    </row>
    <row r="116" spans="1:25" hidden="1" x14ac:dyDescent="0.25">
      <c r="A116" s="5" t="s">
        <v>23</v>
      </c>
      <c r="B116" s="9" t="s">
        <v>30</v>
      </c>
      <c r="C116" s="9" t="s">
        <v>40</v>
      </c>
      <c r="D116" s="9" t="s">
        <v>632</v>
      </c>
      <c r="E116" s="22">
        <v>45888</v>
      </c>
      <c r="F116" s="9">
        <v>1</v>
      </c>
      <c r="G116" s="10" t="s">
        <v>65</v>
      </c>
      <c r="H116" s="9" t="s">
        <v>85</v>
      </c>
      <c r="I116" s="9">
        <v>61</v>
      </c>
      <c r="J116" s="9" t="s">
        <v>132</v>
      </c>
      <c r="K116" s="38">
        <f t="shared" si="7"/>
        <v>61</v>
      </c>
      <c r="L116" s="38">
        <f t="shared" si="8"/>
        <v>19.756666666666668</v>
      </c>
      <c r="M116" s="38">
        <f t="shared" si="9"/>
        <v>41.243333333333332</v>
      </c>
      <c r="N116" s="38"/>
      <c r="O116" s="38">
        <f t="shared" si="10"/>
        <v>19.756666666666668</v>
      </c>
      <c r="P116" s="38">
        <f t="shared" si="11"/>
        <v>-19.756666666666668</v>
      </c>
      <c r="Q116" s="38"/>
      <c r="R116" s="38"/>
      <c r="S116" s="38"/>
      <c r="T116" s="38"/>
      <c r="U116" s="38"/>
      <c r="V116" s="38"/>
      <c r="W116" s="38"/>
      <c r="X116" s="38"/>
      <c r="Y116" s="9"/>
    </row>
    <row r="117" spans="1:25" hidden="1" x14ac:dyDescent="0.25">
      <c r="A117" s="5" t="s">
        <v>23</v>
      </c>
      <c r="B117" s="9" t="s">
        <v>31</v>
      </c>
      <c r="C117" s="9" t="s">
        <v>40</v>
      </c>
      <c r="D117" s="9" t="s">
        <v>647</v>
      </c>
      <c r="E117" s="22">
        <v>45887</v>
      </c>
      <c r="F117" s="9">
        <v>1</v>
      </c>
      <c r="G117" s="10" t="s">
        <v>65</v>
      </c>
      <c r="H117" s="9" t="s">
        <v>74</v>
      </c>
      <c r="I117" s="9">
        <v>53</v>
      </c>
      <c r="J117" s="9" t="s">
        <v>149</v>
      </c>
      <c r="K117" s="38">
        <f t="shared" si="7"/>
        <v>53</v>
      </c>
      <c r="L117" s="38">
        <f t="shared" si="8"/>
        <v>19.756666666666668</v>
      </c>
      <c r="M117" s="38">
        <f t="shared" si="9"/>
        <v>33.243333333333332</v>
      </c>
      <c r="N117" s="38"/>
      <c r="O117" s="38">
        <f t="shared" si="10"/>
        <v>19.756666666666668</v>
      </c>
      <c r="P117" s="38">
        <f t="shared" si="11"/>
        <v>-19.756666666666668</v>
      </c>
      <c r="Q117" s="38"/>
      <c r="R117" s="38"/>
      <c r="S117" s="38"/>
      <c r="T117" s="38"/>
      <c r="U117" s="38"/>
      <c r="V117" s="38"/>
      <c r="W117" s="38"/>
      <c r="X117" s="38"/>
      <c r="Y117" s="9"/>
    </row>
    <row r="118" spans="1:25" hidden="1" x14ac:dyDescent="0.25">
      <c r="A118" s="5" t="s">
        <v>23</v>
      </c>
      <c r="B118" s="9" t="s">
        <v>27</v>
      </c>
      <c r="C118" s="9" t="s">
        <v>39</v>
      </c>
      <c r="D118" s="9" t="s">
        <v>583</v>
      </c>
      <c r="E118" s="22">
        <v>45887</v>
      </c>
      <c r="F118" s="9">
        <v>1</v>
      </c>
      <c r="G118" s="10" t="s">
        <v>64</v>
      </c>
      <c r="H118" s="9" t="s">
        <v>74</v>
      </c>
      <c r="I118" s="9">
        <v>75</v>
      </c>
      <c r="J118" s="9" t="s">
        <v>90</v>
      </c>
      <c r="K118" s="38">
        <f t="shared" si="7"/>
        <v>75</v>
      </c>
      <c r="L118" s="38">
        <f t="shared" si="8"/>
        <v>19.756666666666668</v>
      </c>
      <c r="M118" s="38">
        <f t="shared" si="9"/>
        <v>55.243333333333332</v>
      </c>
      <c r="N118" s="38"/>
      <c r="O118" s="38">
        <f t="shared" si="10"/>
        <v>19.756666666666668</v>
      </c>
      <c r="P118" s="38">
        <f t="shared" si="11"/>
        <v>-19.756666666666668</v>
      </c>
      <c r="Q118" s="38"/>
      <c r="R118" s="38"/>
      <c r="S118" s="38"/>
      <c r="T118" s="38"/>
      <c r="U118" s="38"/>
      <c r="V118" s="38"/>
      <c r="W118" s="38"/>
      <c r="X118" s="38"/>
      <c r="Y118" s="9"/>
    </row>
    <row r="119" spans="1:25" ht="30" hidden="1" x14ac:dyDescent="0.25">
      <c r="A119" s="5" t="s">
        <v>23</v>
      </c>
      <c r="B119" s="9" t="s">
        <v>28</v>
      </c>
      <c r="C119" s="9" t="s">
        <v>39</v>
      </c>
      <c r="D119" s="9" t="s">
        <v>599</v>
      </c>
      <c r="E119" s="22">
        <v>45888</v>
      </c>
      <c r="F119" s="9">
        <v>1</v>
      </c>
      <c r="G119" s="10" t="s">
        <v>64</v>
      </c>
      <c r="H119" s="9" t="s">
        <v>85</v>
      </c>
      <c r="I119" s="9">
        <v>56</v>
      </c>
      <c r="J119" s="9" t="s">
        <v>103</v>
      </c>
      <c r="K119" s="38">
        <f t="shared" ref="K119:K182" si="12">I119</f>
        <v>56</v>
      </c>
      <c r="L119" s="38">
        <f t="shared" ref="L119:L182" si="13">AVERAGE(19.9,19.77,19.6)</f>
        <v>19.756666666666668</v>
      </c>
      <c r="M119" s="38">
        <f t="shared" ref="M119:M182" si="14">K119-L119</f>
        <v>36.243333333333332</v>
      </c>
      <c r="N119" s="38"/>
      <c r="O119" s="38">
        <f t="shared" si="10"/>
        <v>19.756666666666668</v>
      </c>
      <c r="P119" s="38">
        <f t="shared" si="11"/>
        <v>-19.756666666666668</v>
      </c>
      <c r="Q119" s="38"/>
      <c r="R119" s="38"/>
      <c r="S119" s="38"/>
      <c r="T119" s="38"/>
      <c r="U119" s="38"/>
      <c r="V119" s="38"/>
      <c r="W119" s="38"/>
      <c r="X119" s="38"/>
      <c r="Y119" s="9"/>
    </row>
    <row r="120" spans="1:25" ht="30" hidden="1" x14ac:dyDescent="0.25">
      <c r="A120" s="5" t="s">
        <v>23</v>
      </c>
      <c r="B120" s="9" t="s">
        <v>29</v>
      </c>
      <c r="C120" s="9" t="s">
        <v>39</v>
      </c>
      <c r="D120" s="9" t="s">
        <v>615</v>
      </c>
      <c r="E120" s="22">
        <v>45888</v>
      </c>
      <c r="F120" s="9">
        <v>1</v>
      </c>
      <c r="G120" s="10" t="s">
        <v>64</v>
      </c>
      <c r="H120" s="9" t="s">
        <v>71</v>
      </c>
      <c r="I120" s="9">
        <v>41</v>
      </c>
      <c r="J120" s="9" t="s">
        <v>112</v>
      </c>
      <c r="K120" s="38">
        <f t="shared" si="12"/>
        <v>41</v>
      </c>
      <c r="L120" s="38">
        <f t="shared" si="13"/>
        <v>19.756666666666668</v>
      </c>
      <c r="M120" s="38">
        <f t="shared" si="14"/>
        <v>21.243333333333332</v>
      </c>
      <c r="N120" s="38"/>
      <c r="O120" s="38">
        <f t="shared" si="10"/>
        <v>19.756666666666668</v>
      </c>
      <c r="P120" s="38">
        <f t="shared" si="11"/>
        <v>-19.756666666666668</v>
      </c>
      <c r="Q120" s="38"/>
      <c r="R120" s="38"/>
      <c r="S120" s="38"/>
      <c r="T120" s="38"/>
      <c r="U120" s="38"/>
      <c r="V120" s="38"/>
      <c r="W120" s="38"/>
      <c r="X120" s="38"/>
      <c r="Y120" s="9"/>
    </row>
    <row r="121" spans="1:25" hidden="1" x14ac:dyDescent="0.25">
      <c r="A121" s="5" t="s">
        <v>23</v>
      </c>
      <c r="B121" s="9" t="s">
        <v>30</v>
      </c>
      <c r="C121" s="9" t="s">
        <v>39</v>
      </c>
      <c r="D121" s="9" t="s">
        <v>631</v>
      </c>
      <c r="E121" s="22">
        <v>45888</v>
      </c>
      <c r="F121" s="9">
        <v>1</v>
      </c>
      <c r="G121" s="10" t="s">
        <v>64</v>
      </c>
      <c r="H121" s="9" t="s">
        <v>74</v>
      </c>
      <c r="I121" s="9">
        <v>37</v>
      </c>
      <c r="J121" s="9" t="s">
        <v>131</v>
      </c>
      <c r="K121" s="38">
        <f t="shared" si="12"/>
        <v>37</v>
      </c>
      <c r="L121" s="38">
        <f t="shared" si="13"/>
        <v>19.756666666666668</v>
      </c>
      <c r="M121" s="38">
        <f t="shared" si="14"/>
        <v>17.243333333333332</v>
      </c>
      <c r="N121" s="38"/>
      <c r="O121" s="38">
        <f t="shared" si="10"/>
        <v>19.756666666666668</v>
      </c>
      <c r="P121" s="38">
        <f t="shared" si="11"/>
        <v>-19.756666666666668</v>
      </c>
      <c r="Q121" s="38"/>
      <c r="R121" s="38"/>
      <c r="S121" s="38"/>
      <c r="T121" s="38"/>
      <c r="U121" s="38"/>
      <c r="V121" s="38"/>
      <c r="W121" s="38"/>
      <c r="X121" s="38"/>
      <c r="Y121" s="9"/>
    </row>
    <row r="122" spans="1:25" hidden="1" x14ac:dyDescent="0.25">
      <c r="A122" s="5" t="s">
        <v>23</v>
      </c>
      <c r="B122" s="9" t="s">
        <v>31</v>
      </c>
      <c r="C122" s="9" t="s">
        <v>39</v>
      </c>
      <c r="D122" s="9" t="s">
        <v>646</v>
      </c>
      <c r="E122" s="22">
        <v>45887</v>
      </c>
      <c r="F122" s="9">
        <v>1</v>
      </c>
      <c r="G122" s="10" t="s">
        <v>64</v>
      </c>
      <c r="H122" s="9" t="s">
        <v>85</v>
      </c>
      <c r="I122" s="9">
        <v>67</v>
      </c>
      <c r="J122" s="9" t="s">
        <v>148</v>
      </c>
      <c r="K122" s="38">
        <f t="shared" si="12"/>
        <v>67</v>
      </c>
      <c r="L122" s="38">
        <f t="shared" si="13"/>
        <v>19.756666666666668</v>
      </c>
      <c r="M122" s="38">
        <f t="shared" si="14"/>
        <v>47.243333333333332</v>
      </c>
      <c r="N122" s="38"/>
      <c r="O122" s="38">
        <f t="shared" si="10"/>
        <v>19.756666666666668</v>
      </c>
      <c r="P122" s="38">
        <f t="shared" si="11"/>
        <v>-19.756666666666668</v>
      </c>
      <c r="Q122" s="38"/>
      <c r="R122" s="38"/>
      <c r="S122" s="38"/>
      <c r="T122" s="38"/>
      <c r="U122" s="38"/>
      <c r="V122" s="38"/>
      <c r="W122" s="38"/>
      <c r="X122" s="38"/>
      <c r="Y122" s="9"/>
    </row>
    <row r="123" spans="1:25" hidden="1" x14ac:dyDescent="0.25">
      <c r="A123" s="5" t="s">
        <v>23</v>
      </c>
      <c r="B123" s="9" t="s">
        <v>27</v>
      </c>
      <c r="C123" s="9" t="s">
        <v>38</v>
      </c>
      <c r="D123" s="9" t="s">
        <v>582</v>
      </c>
      <c r="E123" s="22">
        <v>45887</v>
      </c>
      <c r="F123" s="9">
        <v>1</v>
      </c>
      <c r="G123" s="10" t="s">
        <v>63</v>
      </c>
      <c r="H123" s="9" t="s">
        <v>74</v>
      </c>
      <c r="I123" s="9">
        <v>65</v>
      </c>
      <c r="J123" s="9" t="s">
        <v>89</v>
      </c>
      <c r="K123" s="38">
        <f t="shared" si="12"/>
        <v>65</v>
      </c>
      <c r="L123" s="38">
        <f t="shared" si="13"/>
        <v>19.756666666666668</v>
      </c>
      <c r="M123" s="38">
        <f t="shared" si="14"/>
        <v>45.243333333333332</v>
      </c>
      <c r="N123" s="38"/>
      <c r="O123" s="38">
        <f t="shared" si="10"/>
        <v>19.756666666666668</v>
      </c>
      <c r="P123" s="38">
        <f t="shared" si="11"/>
        <v>-19.756666666666668</v>
      </c>
      <c r="Q123" s="38"/>
      <c r="R123" s="38"/>
      <c r="S123" s="38"/>
      <c r="T123" s="38"/>
      <c r="U123" s="38"/>
      <c r="V123" s="38"/>
      <c r="W123" s="38"/>
      <c r="X123" s="38"/>
      <c r="Y123" s="9"/>
    </row>
    <row r="124" spans="1:25" ht="30" hidden="1" x14ac:dyDescent="0.25">
      <c r="A124" s="5" t="s">
        <v>23</v>
      </c>
      <c r="B124" s="9" t="s">
        <v>28</v>
      </c>
      <c r="C124" s="9" t="s">
        <v>38</v>
      </c>
      <c r="D124" s="9" t="s">
        <v>598</v>
      </c>
      <c r="E124" s="22">
        <v>45888</v>
      </c>
      <c r="F124" s="9">
        <v>1</v>
      </c>
      <c r="G124" s="10" t="s">
        <v>63</v>
      </c>
      <c r="H124" s="9" t="s">
        <v>85</v>
      </c>
      <c r="I124" s="9">
        <v>61</v>
      </c>
      <c r="J124" s="9" t="s">
        <v>103</v>
      </c>
      <c r="K124" s="38">
        <f t="shared" si="12"/>
        <v>61</v>
      </c>
      <c r="L124" s="38">
        <f t="shared" si="13"/>
        <v>19.756666666666668</v>
      </c>
      <c r="M124" s="38">
        <f t="shared" si="14"/>
        <v>41.243333333333332</v>
      </c>
      <c r="N124" s="38"/>
      <c r="O124" s="38">
        <f t="shared" si="10"/>
        <v>19.756666666666668</v>
      </c>
      <c r="P124" s="38">
        <f t="shared" si="11"/>
        <v>-19.756666666666668</v>
      </c>
      <c r="Q124" s="38"/>
      <c r="R124" s="38"/>
      <c r="S124" s="38"/>
      <c r="T124" s="38"/>
      <c r="U124" s="38"/>
      <c r="V124" s="38"/>
      <c r="W124" s="38"/>
      <c r="X124" s="38"/>
      <c r="Y124" s="9"/>
    </row>
    <row r="125" spans="1:25" ht="30" hidden="1" x14ac:dyDescent="0.25">
      <c r="A125" s="5" t="s">
        <v>23</v>
      </c>
      <c r="B125" s="9" t="s">
        <v>29</v>
      </c>
      <c r="C125" s="9" t="s">
        <v>38</v>
      </c>
      <c r="D125" s="9" t="s">
        <v>614</v>
      </c>
      <c r="E125" s="22">
        <v>45888</v>
      </c>
      <c r="F125" s="9">
        <v>1</v>
      </c>
      <c r="G125" s="10" t="s">
        <v>63</v>
      </c>
      <c r="H125" s="9" t="s">
        <v>71</v>
      </c>
      <c r="I125" s="9">
        <v>41</v>
      </c>
      <c r="J125" s="9" t="s">
        <v>112</v>
      </c>
      <c r="K125" s="38">
        <f t="shared" si="12"/>
        <v>41</v>
      </c>
      <c r="L125" s="38">
        <f t="shared" si="13"/>
        <v>19.756666666666668</v>
      </c>
      <c r="M125" s="38">
        <f t="shared" si="14"/>
        <v>21.243333333333332</v>
      </c>
      <c r="N125" s="38"/>
      <c r="O125" s="38">
        <f t="shared" si="10"/>
        <v>19.756666666666668</v>
      </c>
      <c r="P125" s="38">
        <f t="shared" si="11"/>
        <v>-19.756666666666668</v>
      </c>
      <c r="Q125" s="38"/>
      <c r="R125" s="38"/>
      <c r="S125" s="38"/>
      <c r="T125" s="38"/>
      <c r="U125" s="38"/>
      <c r="V125" s="38"/>
      <c r="W125" s="38"/>
      <c r="X125" s="38"/>
      <c r="Y125" s="9"/>
    </row>
    <row r="126" spans="1:25" hidden="1" x14ac:dyDescent="0.25">
      <c r="A126" s="5" t="s">
        <v>23</v>
      </c>
      <c r="B126" s="9" t="s">
        <v>30</v>
      </c>
      <c r="C126" s="9" t="s">
        <v>38</v>
      </c>
      <c r="D126" s="9" t="s">
        <v>630</v>
      </c>
      <c r="E126" s="22">
        <v>45888</v>
      </c>
      <c r="F126" s="9">
        <v>1</v>
      </c>
      <c r="G126" s="10" t="s">
        <v>63</v>
      </c>
      <c r="H126" s="9" t="s">
        <v>74</v>
      </c>
      <c r="I126" s="9">
        <v>45</v>
      </c>
      <c r="J126" s="9" t="s">
        <v>131</v>
      </c>
      <c r="K126" s="38">
        <f t="shared" si="12"/>
        <v>45</v>
      </c>
      <c r="L126" s="38">
        <f t="shared" si="13"/>
        <v>19.756666666666668</v>
      </c>
      <c r="M126" s="38">
        <f t="shared" si="14"/>
        <v>25.243333333333332</v>
      </c>
      <c r="N126" s="38"/>
      <c r="O126" s="38">
        <f t="shared" si="10"/>
        <v>19.756666666666668</v>
      </c>
      <c r="P126" s="38">
        <f t="shared" si="11"/>
        <v>-19.756666666666668</v>
      </c>
      <c r="Q126" s="38"/>
      <c r="R126" s="38"/>
      <c r="S126" s="38"/>
      <c r="T126" s="38"/>
      <c r="U126" s="38"/>
      <c r="V126" s="38"/>
      <c r="W126" s="38"/>
      <c r="X126" s="38"/>
      <c r="Y126" s="9"/>
    </row>
    <row r="127" spans="1:25" hidden="1" x14ac:dyDescent="0.25">
      <c r="A127" s="5" t="s">
        <v>23</v>
      </c>
      <c r="B127" s="9" t="s">
        <v>31</v>
      </c>
      <c r="C127" s="9" t="s">
        <v>38</v>
      </c>
      <c r="D127" s="9" t="s">
        <v>645</v>
      </c>
      <c r="E127" s="22">
        <v>45887</v>
      </c>
      <c r="F127" s="9">
        <v>1</v>
      </c>
      <c r="G127" s="10" t="s">
        <v>63</v>
      </c>
      <c r="H127" s="9" t="s">
        <v>85</v>
      </c>
      <c r="I127" s="9">
        <v>70</v>
      </c>
      <c r="J127" s="9" t="s">
        <v>147</v>
      </c>
      <c r="K127" s="38">
        <f t="shared" si="12"/>
        <v>70</v>
      </c>
      <c r="L127" s="38">
        <f t="shared" si="13"/>
        <v>19.756666666666668</v>
      </c>
      <c r="M127" s="38">
        <f t="shared" si="14"/>
        <v>50.243333333333332</v>
      </c>
      <c r="N127" s="38"/>
      <c r="O127" s="38">
        <f t="shared" si="10"/>
        <v>19.756666666666668</v>
      </c>
      <c r="P127" s="38">
        <f t="shared" si="11"/>
        <v>-19.756666666666668</v>
      </c>
      <c r="Q127" s="38"/>
      <c r="R127" s="38"/>
      <c r="S127" s="38"/>
      <c r="T127" s="38"/>
      <c r="U127" s="38"/>
      <c r="V127" s="38"/>
      <c r="W127" s="38"/>
      <c r="X127" s="38"/>
      <c r="Y127" s="9"/>
    </row>
    <row r="128" spans="1:25" hidden="1" x14ac:dyDescent="0.25">
      <c r="A128" s="5" t="s">
        <v>23</v>
      </c>
      <c r="B128" s="9" t="s">
        <v>27</v>
      </c>
      <c r="C128" s="9" t="s">
        <v>37</v>
      </c>
      <c r="D128" s="9" t="s">
        <v>581</v>
      </c>
      <c r="E128" s="22">
        <v>45887</v>
      </c>
      <c r="F128" s="9">
        <v>1</v>
      </c>
      <c r="G128" s="10" t="s">
        <v>62</v>
      </c>
      <c r="H128" s="9" t="s">
        <v>74</v>
      </c>
      <c r="I128" s="9">
        <v>97</v>
      </c>
      <c r="J128" s="9" t="s">
        <v>88</v>
      </c>
      <c r="K128" s="38">
        <f t="shared" si="12"/>
        <v>97</v>
      </c>
      <c r="L128" s="38">
        <f t="shared" si="13"/>
        <v>19.756666666666668</v>
      </c>
      <c r="M128" s="38">
        <f t="shared" si="14"/>
        <v>77.243333333333339</v>
      </c>
      <c r="N128" s="38"/>
      <c r="O128" s="38">
        <f t="shared" si="10"/>
        <v>19.756666666666668</v>
      </c>
      <c r="P128" s="38">
        <f t="shared" si="11"/>
        <v>-19.756666666666668</v>
      </c>
      <c r="Q128" s="38"/>
      <c r="R128" s="38"/>
      <c r="S128" s="38"/>
      <c r="T128" s="38"/>
      <c r="U128" s="38"/>
      <c r="V128" s="38"/>
      <c r="W128" s="38"/>
      <c r="X128" s="38"/>
      <c r="Y128" s="9"/>
    </row>
    <row r="129" spans="1:25" hidden="1" x14ac:dyDescent="0.25">
      <c r="A129" s="5" t="s">
        <v>23</v>
      </c>
      <c r="B129" s="9" t="s">
        <v>28</v>
      </c>
      <c r="C129" s="9" t="s">
        <v>37</v>
      </c>
      <c r="D129" s="9" t="s">
        <v>597</v>
      </c>
      <c r="E129" s="22">
        <v>45888</v>
      </c>
      <c r="F129" s="9">
        <v>1</v>
      </c>
      <c r="G129" s="10" t="s">
        <v>62</v>
      </c>
      <c r="H129" s="9" t="s">
        <v>85</v>
      </c>
      <c r="I129" s="9">
        <v>61</v>
      </c>
      <c r="J129" s="9" t="s">
        <v>102</v>
      </c>
      <c r="K129" s="38">
        <f t="shared" si="12"/>
        <v>61</v>
      </c>
      <c r="L129" s="38">
        <f t="shared" si="13"/>
        <v>19.756666666666668</v>
      </c>
      <c r="M129" s="38">
        <f t="shared" si="14"/>
        <v>41.243333333333332</v>
      </c>
      <c r="N129" s="38"/>
      <c r="O129" s="38">
        <f t="shared" si="10"/>
        <v>19.756666666666668</v>
      </c>
      <c r="P129" s="38">
        <f t="shared" si="11"/>
        <v>-19.756666666666668</v>
      </c>
      <c r="Q129" s="38"/>
      <c r="R129" s="38"/>
      <c r="S129" s="38"/>
      <c r="T129" s="38"/>
      <c r="U129" s="38"/>
      <c r="V129" s="38"/>
      <c r="W129" s="38"/>
      <c r="X129" s="38"/>
      <c r="Y129" s="9"/>
    </row>
    <row r="130" spans="1:25" ht="30" hidden="1" x14ac:dyDescent="0.25">
      <c r="A130" s="5" t="s">
        <v>23</v>
      </c>
      <c r="B130" s="9" t="s">
        <v>29</v>
      </c>
      <c r="C130" s="9" t="s">
        <v>37</v>
      </c>
      <c r="D130" s="9" t="s">
        <v>613</v>
      </c>
      <c r="E130" s="22">
        <v>45888</v>
      </c>
      <c r="F130" s="9">
        <v>1</v>
      </c>
      <c r="G130" s="10" t="s">
        <v>62</v>
      </c>
      <c r="H130" s="9" t="s">
        <v>71</v>
      </c>
      <c r="I130" s="9">
        <v>47</v>
      </c>
      <c r="J130" s="9" t="s">
        <v>111</v>
      </c>
      <c r="K130" s="38">
        <f t="shared" si="12"/>
        <v>47</v>
      </c>
      <c r="L130" s="38">
        <f t="shared" si="13"/>
        <v>19.756666666666668</v>
      </c>
      <c r="M130" s="38">
        <f t="shared" si="14"/>
        <v>27.243333333333332</v>
      </c>
      <c r="N130" s="38"/>
      <c r="O130" s="38">
        <f t="shared" si="10"/>
        <v>19.756666666666668</v>
      </c>
      <c r="P130" s="38">
        <f t="shared" si="11"/>
        <v>-19.756666666666668</v>
      </c>
      <c r="Q130" s="38"/>
      <c r="R130" s="38"/>
      <c r="S130" s="38"/>
      <c r="T130" s="38"/>
      <c r="U130" s="38"/>
      <c r="V130" s="38"/>
      <c r="W130" s="38"/>
      <c r="X130" s="38"/>
      <c r="Y130" s="9"/>
    </row>
    <row r="131" spans="1:25" hidden="1" x14ac:dyDescent="0.25">
      <c r="A131" s="5" t="s">
        <v>23</v>
      </c>
      <c r="B131" s="9" t="s">
        <v>30</v>
      </c>
      <c r="C131" s="9" t="s">
        <v>37</v>
      </c>
      <c r="D131" s="9" t="s">
        <v>629</v>
      </c>
      <c r="E131" s="22">
        <v>45888</v>
      </c>
      <c r="F131" s="9">
        <v>1</v>
      </c>
      <c r="G131" s="10" t="s">
        <v>62</v>
      </c>
      <c r="H131" s="9" t="s">
        <v>74</v>
      </c>
      <c r="I131" s="9">
        <v>45</v>
      </c>
      <c r="J131" s="9" t="s">
        <v>130</v>
      </c>
      <c r="K131" s="38">
        <f t="shared" si="12"/>
        <v>45</v>
      </c>
      <c r="L131" s="38">
        <f t="shared" si="13"/>
        <v>19.756666666666668</v>
      </c>
      <c r="M131" s="38">
        <f t="shared" si="14"/>
        <v>25.243333333333332</v>
      </c>
      <c r="N131" s="38"/>
      <c r="O131" s="38">
        <f t="shared" si="10"/>
        <v>19.756666666666668</v>
      </c>
      <c r="P131" s="38">
        <f t="shared" si="11"/>
        <v>-19.756666666666668</v>
      </c>
      <c r="Q131" s="38"/>
      <c r="R131" s="38"/>
      <c r="S131" s="38"/>
      <c r="T131" s="38"/>
      <c r="U131" s="38"/>
      <c r="V131" s="38"/>
      <c r="W131" s="38"/>
      <c r="X131" s="38"/>
      <c r="Y131" s="9"/>
    </row>
    <row r="132" spans="1:25" hidden="1" x14ac:dyDescent="0.25">
      <c r="A132" s="5" t="s">
        <v>23</v>
      </c>
      <c r="B132" s="9" t="s">
        <v>31</v>
      </c>
      <c r="C132" s="9" t="s">
        <v>37</v>
      </c>
      <c r="D132" s="9" t="s">
        <v>644</v>
      </c>
      <c r="E132" s="22">
        <v>45887</v>
      </c>
      <c r="F132" s="9">
        <v>1</v>
      </c>
      <c r="G132" s="10" t="s">
        <v>62</v>
      </c>
      <c r="H132" s="9" t="s">
        <v>85</v>
      </c>
      <c r="I132" s="9">
        <v>62</v>
      </c>
      <c r="J132" s="9" t="s">
        <v>146</v>
      </c>
      <c r="K132" s="38">
        <f t="shared" si="12"/>
        <v>62</v>
      </c>
      <c r="L132" s="38">
        <f t="shared" si="13"/>
        <v>19.756666666666668</v>
      </c>
      <c r="M132" s="38">
        <f t="shared" si="14"/>
        <v>42.243333333333332</v>
      </c>
      <c r="N132" s="38"/>
      <c r="O132" s="38">
        <f t="shared" si="10"/>
        <v>19.756666666666668</v>
      </c>
      <c r="P132" s="38">
        <f t="shared" si="11"/>
        <v>-19.756666666666668</v>
      </c>
      <c r="Q132" s="38"/>
      <c r="R132" s="38"/>
      <c r="S132" s="38"/>
      <c r="T132" s="38"/>
      <c r="U132" s="38"/>
      <c r="V132" s="38"/>
      <c r="W132" s="38"/>
      <c r="X132" s="38"/>
      <c r="Y132" s="9"/>
    </row>
    <row r="133" spans="1:25" hidden="1" x14ac:dyDescent="0.25">
      <c r="A133" s="5" t="s">
        <v>23</v>
      </c>
      <c r="B133" s="9" t="s">
        <v>27</v>
      </c>
      <c r="C133" s="9" t="s">
        <v>36</v>
      </c>
      <c r="D133" s="9" t="s">
        <v>580</v>
      </c>
      <c r="E133" s="22">
        <v>45887</v>
      </c>
      <c r="F133" s="9">
        <v>1</v>
      </c>
      <c r="G133" s="10" t="s">
        <v>61</v>
      </c>
      <c r="H133" s="9" t="s">
        <v>74</v>
      </c>
      <c r="I133" s="9">
        <v>67</v>
      </c>
      <c r="J133" s="9" t="s">
        <v>87</v>
      </c>
      <c r="K133" s="38">
        <f t="shared" si="12"/>
        <v>67</v>
      </c>
      <c r="L133" s="38">
        <f t="shared" si="13"/>
        <v>19.756666666666668</v>
      </c>
      <c r="M133" s="38">
        <f t="shared" si="14"/>
        <v>47.243333333333332</v>
      </c>
      <c r="N133" s="38"/>
      <c r="O133" s="38">
        <f t="shared" si="10"/>
        <v>19.756666666666668</v>
      </c>
      <c r="P133" s="38">
        <f t="shared" si="11"/>
        <v>-19.756666666666668</v>
      </c>
      <c r="Q133" s="38"/>
      <c r="R133" s="38"/>
      <c r="S133" s="38"/>
      <c r="T133" s="38"/>
      <c r="U133" s="38"/>
      <c r="V133" s="38"/>
      <c r="W133" s="38"/>
      <c r="X133" s="38"/>
      <c r="Y133" s="9"/>
    </row>
    <row r="134" spans="1:25" hidden="1" x14ac:dyDescent="0.25">
      <c r="A134" s="5" t="s">
        <v>23</v>
      </c>
      <c r="B134" s="9" t="s">
        <v>28</v>
      </c>
      <c r="C134" s="9" t="s">
        <v>36</v>
      </c>
      <c r="D134" s="9" t="s">
        <v>596</v>
      </c>
      <c r="E134" s="22">
        <v>45888</v>
      </c>
      <c r="F134" s="9">
        <v>1</v>
      </c>
      <c r="G134" s="10" t="s">
        <v>61</v>
      </c>
      <c r="H134" s="9" t="s">
        <v>85</v>
      </c>
      <c r="I134" s="9">
        <v>59</v>
      </c>
      <c r="J134" s="9" t="s">
        <v>102</v>
      </c>
      <c r="K134" s="38">
        <f t="shared" si="12"/>
        <v>59</v>
      </c>
      <c r="L134" s="38">
        <f t="shared" si="13"/>
        <v>19.756666666666668</v>
      </c>
      <c r="M134" s="38">
        <f t="shared" si="14"/>
        <v>39.243333333333332</v>
      </c>
      <c r="N134" s="38"/>
      <c r="O134" s="38">
        <f t="shared" si="10"/>
        <v>19.756666666666668</v>
      </c>
      <c r="P134" s="38">
        <f t="shared" si="11"/>
        <v>-19.756666666666668</v>
      </c>
      <c r="Q134" s="38"/>
      <c r="R134" s="38"/>
      <c r="S134" s="38"/>
      <c r="T134" s="38"/>
      <c r="U134" s="38"/>
      <c r="V134" s="38"/>
      <c r="W134" s="38"/>
      <c r="X134" s="38"/>
      <c r="Y134" s="9"/>
    </row>
    <row r="135" spans="1:25" ht="30" hidden="1" x14ac:dyDescent="0.25">
      <c r="A135" s="5" t="s">
        <v>23</v>
      </c>
      <c r="B135" s="9" t="s">
        <v>29</v>
      </c>
      <c r="C135" s="9" t="s">
        <v>36</v>
      </c>
      <c r="D135" s="9" t="s">
        <v>612</v>
      </c>
      <c r="E135" s="22">
        <v>45888</v>
      </c>
      <c r="F135" s="9">
        <v>1</v>
      </c>
      <c r="G135" s="10" t="s">
        <v>61</v>
      </c>
      <c r="H135" s="9" t="s">
        <v>71</v>
      </c>
      <c r="I135" s="9">
        <v>71</v>
      </c>
      <c r="J135" s="9" t="s">
        <v>111</v>
      </c>
      <c r="K135" s="38">
        <f t="shared" si="12"/>
        <v>71</v>
      </c>
      <c r="L135" s="38">
        <f t="shared" si="13"/>
        <v>19.756666666666668</v>
      </c>
      <c r="M135" s="38">
        <f t="shared" si="14"/>
        <v>51.243333333333332</v>
      </c>
      <c r="N135" s="38"/>
      <c r="O135" s="38">
        <f t="shared" si="10"/>
        <v>19.756666666666668</v>
      </c>
      <c r="P135" s="38">
        <f t="shared" si="11"/>
        <v>-19.756666666666668</v>
      </c>
      <c r="Q135" s="38"/>
      <c r="R135" s="38"/>
      <c r="S135" s="38"/>
      <c r="T135" s="38"/>
      <c r="U135" s="38"/>
      <c r="V135" s="38"/>
      <c r="W135" s="38"/>
      <c r="X135" s="38"/>
      <c r="Y135" s="9"/>
    </row>
    <row r="136" spans="1:25" hidden="1" x14ac:dyDescent="0.25">
      <c r="A136" s="5" t="s">
        <v>23</v>
      </c>
      <c r="B136" s="9" t="s">
        <v>30</v>
      </c>
      <c r="C136" s="9" t="s">
        <v>36</v>
      </c>
      <c r="D136" s="9" t="s">
        <v>628</v>
      </c>
      <c r="E136" s="22">
        <v>45888</v>
      </c>
      <c r="F136" s="9">
        <v>1</v>
      </c>
      <c r="G136" s="10" t="s">
        <v>61</v>
      </c>
      <c r="H136" s="9" t="s">
        <v>74</v>
      </c>
      <c r="I136" s="9">
        <v>44</v>
      </c>
      <c r="J136" s="9" t="s">
        <v>129</v>
      </c>
      <c r="K136" s="38">
        <f t="shared" si="12"/>
        <v>44</v>
      </c>
      <c r="L136" s="38">
        <f t="shared" si="13"/>
        <v>19.756666666666668</v>
      </c>
      <c r="M136" s="38">
        <f t="shared" si="14"/>
        <v>24.243333333333332</v>
      </c>
      <c r="N136" s="38"/>
      <c r="O136" s="38">
        <f t="shared" si="10"/>
        <v>19.756666666666668</v>
      </c>
      <c r="P136" s="38">
        <f t="shared" si="11"/>
        <v>-19.756666666666668</v>
      </c>
      <c r="Q136" s="38"/>
      <c r="R136" s="38"/>
      <c r="S136" s="38"/>
      <c r="T136" s="38"/>
      <c r="U136" s="38"/>
      <c r="V136" s="38"/>
      <c r="W136" s="38"/>
      <c r="X136" s="38"/>
      <c r="Y136" s="9"/>
    </row>
    <row r="137" spans="1:25" hidden="1" x14ac:dyDescent="0.25">
      <c r="A137" s="5" t="s">
        <v>23</v>
      </c>
      <c r="B137" s="9" t="s">
        <v>31</v>
      </c>
      <c r="C137" s="9" t="s">
        <v>36</v>
      </c>
      <c r="D137" s="9" t="s">
        <v>643</v>
      </c>
      <c r="E137" s="22">
        <v>45887</v>
      </c>
      <c r="F137" s="9">
        <v>1</v>
      </c>
      <c r="G137" s="10" t="s">
        <v>61</v>
      </c>
      <c r="H137" s="9" t="s">
        <v>85</v>
      </c>
      <c r="I137" s="9">
        <v>63</v>
      </c>
      <c r="J137" s="9" t="s">
        <v>145</v>
      </c>
      <c r="K137" s="38">
        <f t="shared" si="12"/>
        <v>63</v>
      </c>
      <c r="L137" s="38">
        <f t="shared" si="13"/>
        <v>19.756666666666668</v>
      </c>
      <c r="M137" s="38">
        <f t="shared" si="14"/>
        <v>43.243333333333332</v>
      </c>
      <c r="N137" s="38"/>
      <c r="O137" s="38">
        <f t="shared" si="10"/>
        <v>19.756666666666668</v>
      </c>
      <c r="P137" s="38">
        <f t="shared" si="11"/>
        <v>-19.756666666666668</v>
      </c>
      <c r="Q137" s="38"/>
      <c r="R137" s="38"/>
      <c r="S137" s="38"/>
      <c r="T137" s="38"/>
      <c r="U137" s="38"/>
      <c r="V137" s="38"/>
      <c r="W137" s="38"/>
      <c r="X137" s="38"/>
      <c r="Y137" s="9"/>
    </row>
    <row r="138" spans="1:25" hidden="1" x14ac:dyDescent="0.25">
      <c r="A138" s="5" t="s">
        <v>23</v>
      </c>
      <c r="B138" s="9" t="s">
        <v>27</v>
      </c>
      <c r="C138" s="9" t="s">
        <v>35</v>
      </c>
      <c r="D138" s="9" t="s">
        <v>579</v>
      </c>
      <c r="E138" s="22">
        <v>45887</v>
      </c>
      <c r="F138" s="9">
        <v>1</v>
      </c>
      <c r="G138" s="10" t="s">
        <v>60</v>
      </c>
      <c r="H138" s="9" t="s">
        <v>85</v>
      </c>
      <c r="I138" s="9">
        <v>71</v>
      </c>
      <c r="J138" s="9" t="s">
        <v>86</v>
      </c>
      <c r="K138" s="38">
        <f t="shared" si="12"/>
        <v>71</v>
      </c>
      <c r="L138" s="38">
        <f t="shared" si="13"/>
        <v>19.756666666666668</v>
      </c>
      <c r="M138" s="38">
        <f t="shared" si="14"/>
        <v>51.243333333333332</v>
      </c>
      <c r="N138" s="38"/>
      <c r="O138" s="38">
        <f t="shared" si="10"/>
        <v>19.756666666666668</v>
      </c>
      <c r="P138" s="38">
        <f t="shared" si="11"/>
        <v>-19.756666666666668</v>
      </c>
      <c r="Q138" s="38"/>
      <c r="R138" s="38"/>
      <c r="S138" s="38"/>
      <c r="T138" s="38"/>
      <c r="U138" s="38"/>
      <c r="V138" s="38"/>
      <c r="W138" s="38"/>
      <c r="X138" s="38"/>
      <c r="Y138" s="9"/>
    </row>
    <row r="139" spans="1:25" hidden="1" x14ac:dyDescent="0.25">
      <c r="A139" s="5" t="s">
        <v>23</v>
      </c>
      <c r="B139" s="9" t="s">
        <v>28</v>
      </c>
      <c r="C139" s="9" t="s">
        <v>35</v>
      </c>
      <c r="D139" s="9" t="s">
        <v>595</v>
      </c>
      <c r="E139" s="22">
        <v>45888</v>
      </c>
      <c r="F139" s="9">
        <v>1</v>
      </c>
      <c r="G139" s="10" t="s">
        <v>60</v>
      </c>
      <c r="H139" s="9" t="s">
        <v>85</v>
      </c>
      <c r="I139" s="9">
        <v>53</v>
      </c>
      <c r="J139" s="9" t="s">
        <v>102</v>
      </c>
      <c r="K139" s="38">
        <f t="shared" si="12"/>
        <v>53</v>
      </c>
      <c r="L139" s="38">
        <f t="shared" si="13"/>
        <v>19.756666666666668</v>
      </c>
      <c r="M139" s="38">
        <f t="shared" si="14"/>
        <v>33.243333333333332</v>
      </c>
      <c r="N139" s="38"/>
      <c r="O139" s="38">
        <f t="shared" si="10"/>
        <v>19.756666666666668</v>
      </c>
      <c r="P139" s="38">
        <f t="shared" si="11"/>
        <v>-19.756666666666668</v>
      </c>
      <c r="Q139" s="38"/>
      <c r="R139" s="38"/>
      <c r="S139" s="38"/>
      <c r="T139" s="38"/>
      <c r="U139" s="38"/>
      <c r="V139" s="38"/>
      <c r="W139" s="38"/>
      <c r="X139" s="38"/>
      <c r="Y139" s="9"/>
    </row>
    <row r="140" spans="1:25" hidden="1" x14ac:dyDescent="0.25">
      <c r="A140" s="5" t="s">
        <v>23</v>
      </c>
      <c r="B140" s="9" t="s">
        <v>29</v>
      </c>
      <c r="C140" s="9" t="s">
        <v>35</v>
      </c>
      <c r="D140" s="9" t="s">
        <v>611</v>
      </c>
      <c r="E140" s="22">
        <v>45888</v>
      </c>
      <c r="F140" s="9">
        <v>1</v>
      </c>
      <c r="G140" s="10" t="s">
        <v>60</v>
      </c>
      <c r="H140" s="9" t="s">
        <v>71</v>
      </c>
      <c r="I140" s="9">
        <v>50</v>
      </c>
      <c r="J140" s="9" t="s">
        <v>110</v>
      </c>
      <c r="K140" s="38">
        <f t="shared" si="12"/>
        <v>50</v>
      </c>
      <c r="L140" s="38">
        <f t="shared" si="13"/>
        <v>19.756666666666668</v>
      </c>
      <c r="M140" s="38">
        <f t="shared" si="14"/>
        <v>30.243333333333332</v>
      </c>
      <c r="N140" s="38"/>
      <c r="O140" s="38">
        <f t="shared" si="10"/>
        <v>19.756666666666668</v>
      </c>
      <c r="P140" s="38">
        <f t="shared" si="11"/>
        <v>-19.756666666666668</v>
      </c>
      <c r="Q140" s="38"/>
      <c r="R140" s="38"/>
      <c r="S140" s="38"/>
      <c r="T140" s="38"/>
      <c r="U140" s="38"/>
      <c r="V140" s="38"/>
      <c r="W140" s="38"/>
      <c r="X140" s="38"/>
      <c r="Y140" s="9"/>
    </row>
    <row r="141" spans="1:25" hidden="1" x14ac:dyDescent="0.25">
      <c r="A141" s="5" t="s">
        <v>23</v>
      </c>
      <c r="B141" s="9" t="s">
        <v>30</v>
      </c>
      <c r="C141" s="9" t="s">
        <v>35</v>
      </c>
      <c r="D141" s="9" t="s">
        <v>627</v>
      </c>
      <c r="E141" s="22">
        <v>45888</v>
      </c>
      <c r="F141" s="9">
        <v>1</v>
      </c>
      <c r="G141" s="10" t="s">
        <v>60</v>
      </c>
      <c r="H141" s="9" t="s">
        <v>74</v>
      </c>
      <c r="I141" s="9">
        <v>54</v>
      </c>
      <c r="J141" s="9" t="s">
        <v>128</v>
      </c>
      <c r="K141" s="38">
        <f t="shared" si="12"/>
        <v>54</v>
      </c>
      <c r="L141" s="38">
        <f t="shared" si="13"/>
        <v>19.756666666666668</v>
      </c>
      <c r="M141" s="38">
        <f t="shared" si="14"/>
        <v>34.243333333333332</v>
      </c>
      <c r="N141" s="38"/>
      <c r="O141" s="38">
        <f t="shared" si="10"/>
        <v>19.756666666666668</v>
      </c>
      <c r="P141" s="38">
        <f t="shared" si="11"/>
        <v>-19.756666666666668</v>
      </c>
      <c r="Q141" s="38"/>
      <c r="R141" s="38"/>
      <c r="S141" s="38"/>
      <c r="T141" s="38"/>
      <c r="U141" s="38"/>
      <c r="V141" s="38"/>
      <c r="W141" s="38"/>
      <c r="X141" s="38"/>
      <c r="Y141" s="9"/>
    </row>
    <row r="142" spans="1:25" hidden="1" x14ac:dyDescent="0.25">
      <c r="A142" s="5" t="s">
        <v>23</v>
      </c>
      <c r="B142" s="9" t="s">
        <v>31</v>
      </c>
      <c r="C142" s="9" t="s">
        <v>35</v>
      </c>
      <c r="D142" s="9" t="s">
        <v>642</v>
      </c>
      <c r="E142" s="22">
        <v>45887</v>
      </c>
      <c r="F142" s="9">
        <v>1</v>
      </c>
      <c r="G142" s="10" t="s">
        <v>60</v>
      </c>
      <c r="H142" s="9" t="s">
        <v>85</v>
      </c>
      <c r="I142" s="9">
        <v>65</v>
      </c>
      <c r="J142" s="9" t="s">
        <v>144</v>
      </c>
      <c r="K142" s="38">
        <f t="shared" si="12"/>
        <v>65</v>
      </c>
      <c r="L142" s="38">
        <f t="shared" si="13"/>
        <v>19.756666666666668</v>
      </c>
      <c r="M142" s="38">
        <f t="shared" si="14"/>
        <v>45.243333333333332</v>
      </c>
      <c r="N142" s="38"/>
      <c r="O142" s="38">
        <f t="shared" si="10"/>
        <v>19.756666666666668</v>
      </c>
      <c r="P142" s="38">
        <f t="shared" si="11"/>
        <v>-19.756666666666668</v>
      </c>
      <c r="Q142" s="38"/>
      <c r="R142" s="38"/>
      <c r="S142" s="38"/>
      <c r="T142" s="38"/>
      <c r="U142" s="38"/>
      <c r="V142" s="38"/>
      <c r="W142" s="38"/>
      <c r="X142" s="38"/>
      <c r="Y142" s="9"/>
    </row>
    <row r="143" spans="1:25" hidden="1" x14ac:dyDescent="0.25">
      <c r="A143" s="5" t="s">
        <v>23</v>
      </c>
      <c r="B143" s="9" t="s">
        <v>27</v>
      </c>
      <c r="C143" s="9" t="s">
        <v>34</v>
      </c>
      <c r="D143" s="9" t="s">
        <v>578</v>
      </c>
      <c r="E143" s="22">
        <v>45887</v>
      </c>
      <c r="F143" s="9">
        <v>1</v>
      </c>
      <c r="G143" s="10" t="s">
        <v>59</v>
      </c>
      <c r="H143" s="9" t="s">
        <v>74</v>
      </c>
      <c r="I143" s="9">
        <v>71</v>
      </c>
      <c r="J143" s="9" t="s">
        <v>84</v>
      </c>
      <c r="K143" s="38">
        <f t="shared" si="12"/>
        <v>71</v>
      </c>
      <c r="L143" s="38">
        <f t="shared" si="13"/>
        <v>19.756666666666668</v>
      </c>
      <c r="M143" s="38">
        <f t="shared" si="14"/>
        <v>51.243333333333332</v>
      </c>
      <c r="N143" s="38"/>
      <c r="O143" s="38">
        <f t="shared" si="10"/>
        <v>19.756666666666668</v>
      </c>
      <c r="P143" s="38">
        <f t="shared" si="11"/>
        <v>-19.756666666666668</v>
      </c>
      <c r="Q143" s="38"/>
      <c r="R143" s="38"/>
      <c r="S143" s="38"/>
      <c r="T143" s="38"/>
      <c r="U143" s="38"/>
      <c r="V143" s="38"/>
      <c r="W143" s="38"/>
      <c r="X143" s="38"/>
      <c r="Y143" s="9"/>
    </row>
    <row r="144" spans="1:25" hidden="1" x14ac:dyDescent="0.25">
      <c r="A144" s="5" t="s">
        <v>23</v>
      </c>
      <c r="B144" s="9" t="s">
        <v>28</v>
      </c>
      <c r="C144" s="9" t="s">
        <v>34</v>
      </c>
      <c r="D144" s="9" t="s">
        <v>594</v>
      </c>
      <c r="E144" s="22">
        <v>45888</v>
      </c>
      <c r="F144" s="9">
        <v>1</v>
      </c>
      <c r="G144" s="10" t="s">
        <v>59</v>
      </c>
      <c r="H144" s="9" t="s">
        <v>85</v>
      </c>
      <c r="I144" s="9">
        <v>58</v>
      </c>
      <c r="J144" s="9" t="s">
        <v>102</v>
      </c>
      <c r="K144" s="38">
        <f t="shared" si="12"/>
        <v>58</v>
      </c>
      <c r="L144" s="38">
        <f t="shared" si="13"/>
        <v>19.756666666666668</v>
      </c>
      <c r="M144" s="38">
        <f t="shared" si="14"/>
        <v>38.243333333333332</v>
      </c>
      <c r="N144" s="38"/>
      <c r="O144" s="38">
        <f t="shared" si="10"/>
        <v>19.756666666666668</v>
      </c>
      <c r="P144" s="38">
        <f t="shared" si="11"/>
        <v>-19.756666666666668</v>
      </c>
      <c r="Q144" s="38"/>
      <c r="R144" s="38"/>
      <c r="S144" s="38"/>
      <c r="T144" s="38"/>
      <c r="U144" s="38"/>
      <c r="V144" s="38"/>
      <c r="W144" s="38"/>
      <c r="X144" s="38"/>
      <c r="Y144" s="9"/>
    </row>
    <row r="145" spans="1:25" hidden="1" x14ac:dyDescent="0.25">
      <c r="A145" s="5" t="s">
        <v>23</v>
      </c>
      <c r="B145" s="9" t="s">
        <v>29</v>
      </c>
      <c r="C145" s="9" t="s">
        <v>34</v>
      </c>
      <c r="D145" s="9" t="s">
        <v>610</v>
      </c>
      <c r="E145" s="22">
        <v>45888</v>
      </c>
      <c r="F145" s="9">
        <v>1</v>
      </c>
      <c r="G145" s="10" t="s">
        <v>59</v>
      </c>
      <c r="H145" s="9" t="s">
        <v>71</v>
      </c>
      <c r="I145" s="9">
        <v>57</v>
      </c>
      <c r="J145" s="9" t="s">
        <v>110</v>
      </c>
      <c r="K145" s="38">
        <f t="shared" si="12"/>
        <v>57</v>
      </c>
      <c r="L145" s="38">
        <f t="shared" si="13"/>
        <v>19.756666666666668</v>
      </c>
      <c r="M145" s="38">
        <f t="shared" si="14"/>
        <v>37.243333333333332</v>
      </c>
      <c r="N145" s="38"/>
      <c r="O145" s="38">
        <f t="shared" si="10"/>
        <v>19.756666666666668</v>
      </c>
      <c r="P145" s="38">
        <f t="shared" si="11"/>
        <v>-19.756666666666668</v>
      </c>
      <c r="Q145" s="38"/>
      <c r="R145" s="38"/>
      <c r="S145" s="38"/>
      <c r="T145" s="38"/>
      <c r="U145" s="38"/>
      <c r="V145" s="38"/>
      <c r="W145" s="38"/>
      <c r="X145" s="38"/>
      <c r="Y145" s="9"/>
    </row>
    <row r="146" spans="1:25" hidden="1" x14ac:dyDescent="0.25">
      <c r="A146" s="5" t="s">
        <v>23</v>
      </c>
      <c r="B146" s="9" t="s">
        <v>30</v>
      </c>
      <c r="C146" s="9" t="s">
        <v>34</v>
      </c>
      <c r="D146" s="9" t="s">
        <v>626</v>
      </c>
      <c r="E146" s="22">
        <v>45888</v>
      </c>
      <c r="F146" s="9">
        <v>1</v>
      </c>
      <c r="G146" s="10" t="s">
        <v>59</v>
      </c>
      <c r="H146" s="9" t="s">
        <v>74</v>
      </c>
      <c r="I146" s="9">
        <v>51</v>
      </c>
      <c r="J146" s="9" t="s">
        <v>127</v>
      </c>
      <c r="K146" s="38">
        <f t="shared" si="12"/>
        <v>51</v>
      </c>
      <c r="L146" s="38">
        <f t="shared" si="13"/>
        <v>19.756666666666668</v>
      </c>
      <c r="M146" s="38">
        <f t="shared" si="14"/>
        <v>31.243333333333332</v>
      </c>
      <c r="N146" s="38"/>
      <c r="O146" s="38">
        <f t="shared" si="10"/>
        <v>19.756666666666668</v>
      </c>
      <c r="P146" s="38">
        <f t="shared" si="11"/>
        <v>-19.756666666666668</v>
      </c>
      <c r="Q146" s="38"/>
      <c r="R146" s="38"/>
      <c r="S146" s="38"/>
      <c r="T146" s="38"/>
      <c r="U146" s="38"/>
      <c r="V146" s="38"/>
      <c r="W146" s="38"/>
      <c r="X146" s="38"/>
      <c r="Y146" s="9"/>
    </row>
    <row r="147" spans="1:25" hidden="1" x14ac:dyDescent="0.25">
      <c r="A147" s="5" t="s">
        <v>23</v>
      </c>
      <c r="B147" s="9" t="s">
        <v>31</v>
      </c>
      <c r="C147" s="9" t="s">
        <v>34</v>
      </c>
      <c r="D147" s="9" t="s">
        <v>641</v>
      </c>
      <c r="E147" s="22">
        <v>45887</v>
      </c>
      <c r="F147" s="9">
        <v>1</v>
      </c>
      <c r="G147" s="10" t="s">
        <v>59</v>
      </c>
      <c r="H147" s="9" t="s">
        <v>116</v>
      </c>
      <c r="I147" s="9">
        <v>65</v>
      </c>
      <c r="J147" s="9" t="s">
        <v>143</v>
      </c>
      <c r="K147" s="38">
        <f t="shared" si="12"/>
        <v>65</v>
      </c>
      <c r="L147" s="38">
        <f t="shared" si="13"/>
        <v>19.756666666666668</v>
      </c>
      <c r="M147" s="38">
        <f t="shared" si="14"/>
        <v>45.243333333333332</v>
      </c>
      <c r="N147" s="38"/>
      <c r="O147" s="38">
        <f t="shared" si="10"/>
        <v>19.756666666666668</v>
      </c>
      <c r="P147" s="38">
        <f t="shared" si="11"/>
        <v>-19.756666666666668</v>
      </c>
      <c r="Q147" s="38"/>
      <c r="R147" s="38"/>
      <c r="S147" s="38"/>
      <c r="T147" s="38"/>
      <c r="U147" s="38"/>
      <c r="V147" s="38"/>
      <c r="W147" s="38"/>
      <c r="X147" s="38"/>
      <c r="Y147" s="9"/>
    </row>
    <row r="148" spans="1:25" hidden="1" x14ac:dyDescent="0.25">
      <c r="A148" s="5" t="s">
        <v>23</v>
      </c>
      <c r="B148" s="9" t="s">
        <v>27</v>
      </c>
      <c r="C148" s="9" t="s">
        <v>33</v>
      </c>
      <c r="D148" s="9" t="s">
        <v>577</v>
      </c>
      <c r="E148" s="22">
        <v>45887</v>
      </c>
      <c r="F148" s="9">
        <v>1</v>
      </c>
      <c r="G148" s="10" t="s">
        <v>58</v>
      </c>
      <c r="H148" s="9" t="s">
        <v>71</v>
      </c>
      <c r="I148" s="9">
        <v>68</v>
      </c>
      <c r="J148" s="9" t="s">
        <v>83</v>
      </c>
      <c r="K148" s="38">
        <f t="shared" si="12"/>
        <v>68</v>
      </c>
      <c r="L148" s="38">
        <f t="shared" si="13"/>
        <v>19.756666666666668</v>
      </c>
      <c r="M148" s="38">
        <f t="shared" si="14"/>
        <v>48.243333333333332</v>
      </c>
      <c r="N148" s="38"/>
      <c r="O148" s="38">
        <f t="shared" si="10"/>
        <v>19.756666666666668</v>
      </c>
      <c r="P148" s="38">
        <f t="shared" si="11"/>
        <v>-19.756666666666668</v>
      </c>
      <c r="Q148" s="38"/>
      <c r="R148" s="38"/>
      <c r="S148" s="38"/>
      <c r="T148" s="38"/>
      <c r="U148" s="38"/>
      <c r="V148" s="38"/>
      <c r="W148" s="38"/>
      <c r="X148" s="38"/>
      <c r="Y148" s="9"/>
    </row>
    <row r="149" spans="1:25" hidden="1" x14ac:dyDescent="0.25">
      <c r="A149" s="5" t="s">
        <v>23</v>
      </c>
      <c r="B149" s="9" t="s">
        <v>28</v>
      </c>
      <c r="C149" s="9" t="s">
        <v>33</v>
      </c>
      <c r="D149" s="9" t="s">
        <v>593</v>
      </c>
      <c r="E149" s="22">
        <v>45888</v>
      </c>
      <c r="F149" s="9">
        <v>1</v>
      </c>
      <c r="G149" s="10" t="s">
        <v>58</v>
      </c>
      <c r="H149" s="9" t="s">
        <v>85</v>
      </c>
      <c r="I149" s="9">
        <v>58</v>
      </c>
      <c r="J149" s="9" t="s">
        <v>101</v>
      </c>
      <c r="K149" s="38">
        <f t="shared" si="12"/>
        <v>58</v>
      </c>
      <c r="L149" s="38">
        <f t="shared" si="13"/>
        <v>19.756666666666668</v>
      </c>
      <c r="M149" s="38">
        <f t="shared" si="14"/>
        <v>38.243333333333332</v>
      </c>
      <c r="N149" s="38"/>
      <c r="O149" s="38">
        <f t="shared" si="10"/>
        <v>19.756666666666668</v>
      </c>
      <c r="P149" s="38">
        <f t="shared" si="11"/>
        <v>-19.756666666666668</v>
      </c>
      <c r="Q149" s="38"/>
      <c r="R149" s="38"/>
      <c r="S149" s="38"/>
      <c r="T149" s="38"/>
      <c r="U149" s="38"/>
      <c r="V149" s="38"/>
      <c r="W149" s="38"/>
      <c r="X149" s="38"/>
      <c r="Y149" s="9"/>
    </row>
    <row r="150" spans="1:25" hidden="1" x14ac:dyDescent="0.25">
      <c r="A150" s="5" t="s">
        <v>23</v>
      </c>
      <c r="B150" s="9" t="s">
        <v>29</v>
      </c>
      <c r="C150" s="9" t="s">
        <v>33</v>
      </c>
      <c r="D150" s="9" t="s">
        <v>609</v>
      </c>
      <c r="E150" s="22">
        <v>45888</v>
      </c>
      <c r="F150" s="9">
        <v>1</v>
      </c>
      <c r="G150" s="10" t="s">
        <v>58</v>
      </c>
      <c r="H150" s="9" t="s">
        <v>71</v>
      </c>
      <c r="I150" s="9">
        <v>52</v>
      </c>
      <c r="J150" s="9" t="s">
        <v>99</v>
      </c>
      <c r="K150" s="38">
        <f t="shared" si="12"/>
        <v>52</v>
      </c>
      <c r="L150" s="38">
        <f t="shared" si="13"/>
        <v>19.756666666666668</v>
      </c>
      <c r="M150" s="38">
        <f t="shared" si="14"/>
        <v>32.243333333333332</v>
      </c>
      <c r="N150" s="38"/>
      <c r="O150" s="38">
        <f t="shared" si="10"/>
        <v>19.756666666666668</v>
      </c>
      <c r="P150" s="38">
        <f t="shared" si="11"/>
        <v>-19.756666666666668</v>
      </c>
      <c r="Q150" s="38"/>
      <c r="R150" s="38"/>
      <c r="S150" s="38"/>
      <c r="T150" s="38"/>
      <c r="U150" s="38"/>
      <c r="V150" s="38"/>
      <c r="W150" s="38"/>
      <c r="X150" s="38"/>
      <c r="Y150" s="9"/>
    </row>
    <row r="151" spans="1:25" hidden="1" x14ac:dyDescent="0.25">
      <c r="A151" s="5" t="s">
        <v>23</v>
      </c>
      <c r="B151" s="9" t="s">
        <v>30</v>
      </c>
      <c r="C151" s="9" t="s">
        <v>33</v>
      </c>
      <c r="D151" s="9" t="s">
        <v>625</v>
      </c>
      <c r="E151" s="22">
        <v>45888</v>
      </c>
      <c r="F151" s="9">
        <v>1</v>
      </c>
      <c r="G151" s="10" t="s">
        <v>58</v>
      </c>
      <c r="H151" s="9" t="s">
        <v>74</v>
      </c>
      <c r="I151" s="9">
        <v>46</v>
      </c>
      <c r="J151" s="9" t="s">
        <v>126</v>
      </c>
      <c r="K151" s="38">
        <f t="shared" si="12"/>
        <v>46</v>
      </c>
      <c r="L151" s="38">
        <f t="shared" si="13"/>
        <v>19.756666666666668</v>
      </c>
      <c r="M151" s="38">
        <f t="shared" si="14"/>
        <v>26.243333333333332</v>
      </c>
      <c r="N151" s="38"/>
      <c r="O151" s="38">
        <f t="shared" si="10"/>
        <v>19.756666666666668</v>
      </c>
      <c r="P151" s="38">
        <f t="shared" si="11"/>
        <v>-19.756666666666668</v>
      </c>
      <c r="Q151" s="38"/>
      <c r="R151" s="38"/>
      <c r="S151" s="38"/>
      <c r="T151" s="38"/>
      <c r="U151" s="38"/>
      <c r="V151" s="38"/>
      <c r="W151" s="38"/>
      <c r="X151" s="38"/>
      <c r="Y151" s="9"/>
    </row>
    <row r="152" spans="1:25" hidden="1" x14ac:dyDescent="0.25">
      <c r="A152" s="5" t="s">
        <v>23</v>
      </c>
      <c r="B152" s="9" t="s">
        <v>31</v>
      </c>
      <c r="C152" s="9" t="s">
        <v>33</v>
      </c>
      <c r="D152" s="9" t="s">
        <v>640</v>
      </c>
      <c r="E152" s="22">
        <v>45887</v>
      </c>
      <c r="F152" s="9">
        <v>1</v>
      </c>
      <c r="G152" s="10" t="s">
        <v>58</v>
      </c>
      <c r="H152" s="9" t="s">
        <v>116</v>
      </c>
      <c r="I152" s="9">
        <v>71</v>
      </c>
      <c r="J152" s="9" t="s">
        <v>138</v>
      </c>
      <c r="K152" s="38">
        <f t="shared" si="12"/>
        <v>71</v>
      </c>
      <c r="L152" s="38">
        <f t="shared" si="13"/>
        <v>19.756666666666668</v>
      </c>
      <c r="M152" s="38">
        <f t="shared" si="14"/>
        <v>51.243333333333332</v>
      </c>
      <c r="N152" s="38"/>
      <c r="O152" s="38">
        <f t="shared" si="10"/>
        <v>19.756666666666668</v>
      </c>
      <c r="P152" s="38">
        <f t="shared" si="11"/>
        <v>-19.756666666666668</v>
      </c>
      <c r="Q152" s="38"/>
      <c r="R152" s="38"/>
      <c r="S152" s="38"/>
      <c r="T152" s="38"/>
      <c r="U152" s="38"/>
      <c r="V152" s="38"/>
      <c r="W152" s="38"/>
      <c r="X152" s="38"/>
      <c r="Y152" s="9"/>
    </row>
    <row r="153" spans="1:25" hidden="1" x14ac:dyDescent="0.25">
      <c r="A153" s="5" t="s">
        <v>23</v>
      </c>
      <c r="B153" s="9" t="s">
        <v>27</v>
      </c>
      <c r="C153" s="9" t="s">
        <v>42</v>
      </c>
      <c r="D153" s="9" t="s">
        <v>586</v>
      </c>
      <c r="E153" s="22">
        <v>45887</v>
      </c>
      <c r="F153" s="9">
        <v>1</v>
      </c>
      <c r="G153" s="10" t="s">
        <v>67</v>
      </c>
      <c r="H153" s="9" t="s">
        <v>71</v>
      </c>
      <c r="I153" s="9">
        <v>72</v>
      </c>
      <c r="J153" s="9" t="s">
        <v>91</v>
      </c>
      <c r="K153" s="38">
        <f t="shared" si="12"/>
        <v>72</v>
      </c>
      <c r="L153" s="38">
        <f t="shared" si="13"/>
        <v>19.756666666666668</v>
      </c>
      <c r="M153" s="38">
        <f t="shared" si="14"/>
        <v>52.243333333333332</v>
      </c>
      <c r="N153" s="38"/>
      <c r="O153" s="38">
        <f t="shared" si="10"/>
        <v>19.756666666666668</v>
      </c>
      <c r="P153" s="38">
        <f t="shared" si="11"/>
        <v>-19.756666666666668</v>
      </c>
      <c r="Q153" s="38"/>
      <c r="R153" s="38"/>
      <c r="S153" s="38"/>
      <c r="T153" s="38"/>
      <c r="U153" s="38"/>
      <c r="V153" s="38"/>
      <c r="W153" s="38"/>
      <c r="X153" s="38"/>
      <c r="Y153" s="9"/>
    </row>
    <row r="154" spans="1:25" ht="45" hidden="1" x14ac:dyDescent="0.25">
      <c r="A154" s="5" t="s">
        <v>23</v>
      </c>
      <c r="B154" s="9" t="s">
        <v>28</v>
      </c>
      <c r="C154" s="9" t="s">
        <v>42</v>
      </c>
      <c r="D154" s="9" t="s">
        <v>602</v>
      </c>
      <c r="E154" s="22">
        <v>45888</v>
      </c>
      <c r="F154" s="9">
        <v>1</v>
      </c>
      <c r="G154" s="10" t="s">
        <v>67</v>
      </c>
      <c r="H154" s="9" t="s">
        <v>85</v>
      </c>
      <c r="I154" s="9">
        <v>64</v>
      </c>
      <c r="J154" s="9" t="s">
        <v>104</v>
      </c>
      <c r="K154" s="38">
        <f t="shared" si="12"/>
        <v>64</v>
      </c>
      <c r="L154" s="38">
        <f t="shared" si="13"/>
        <v>19.756666666666668</v>
      </c>
      <c r="M154" s="38">
        <f t="shared" si="14"/>
        <v>44.243333333333332</v>
      </c>
      <c r="N154" s="38"/>
      <c r="O154" s="38">
        <f t="shared" si="10"/>
        <v>19.756666666666668</v>
      </c>
      <c r="P154" s="38">
        <f t="shared" si="11"/>
        <v>-19.756666666666668</v>
      </c>
      <c r="Q154" s="38"/>
      <c r="R154" s="38"/>
      <c r="S154" s="38"/>
      <c r="T154" s="38"/>
      <c r="U154" s="38"/>
      <c r="V154" s="38"/>
      <c r="W154" s="38"/>
      <c r="X154" s="38"/>
      <c r="Y154" s="9"/>
    </row>
    <row r="155" spans="1:25" hidden="1" x14ac:dyDescent="0.25">
      <c r="A155" s="5" t="s">
        <v>23</v>
      </c>
      <c r="B155" s="9" t="s">
        <v>29</v>
      </c>
      <c r="C155" s="9" t="s">
        <v>42</v>
      </c>
      <c r="D155" s="9" t="s">
        <v>618</v>
      </c>
      <c r="E155" s="22">
        <v>45888</v>
      </c>
      <c r="F155" s="9">
        <v>1</v>
      </c>
      <c r="G155" s="10" t="s">
        <v>67</v>
      </c>
      <c r="H155" s="9" t="s">
        <v>74</v>
      </c>
      <c r="I155" s="9">
        <v>38</v>
      </c>
      <c r="J155" s="9" t="s">
        <v>114</v>
      </c>
      <c r="K155" s="38">
        <f t="shared" si="12"/>
        <v>38</v>
      </c>
      <c r="L155" s="38">
        <f t="shared" si="13"/>
        <v>19.756666666666668</v>
      </c>
      <c r="M155" s="38">
        <f t="shared" si="14"/>
        <v>18.243333333333332</v>
      </c>
      <c r="N155" s="38"/>
      <c r="O155" s="38">
        <f t="shared" si="10"/>
        <v>19.756666666666668</v>
      </c>
      <c r="P155" s="38">
        <f t="shared" si="11"/>
        <v>-19.756666666666668</v>
      </c>
      <c r="Q155" s="38"/>
      <c r="R155" s="38"/>
      <c r="S155" s="38"/>
      <c r="T155" s="38"/>
      <c r="U155" s="38"/>
      <c r="V155" s="38"/>
      <c r="W155" s="38"/>
      <c r="X155" s="38"/>
      <c r="Y155" s="9"/>
    </row>
    <row r="156" spans="1:25" hidden="1" x14ac:dyDescent="0.25">
      <c r="A156" s="5" t="s">
        <v>23</v>
      </c>
      <c r="B156" s="9" t="s">
        <v>30</v>
      </c>
      <c r="C156" s="9" t="s">
        <v>42</v>
      </c>
      <c r="D156" s="9" t="s">
        <v>634</v>
      </c>
      <c r="E156" s="22">
        <v>45888</v>
      </c>
      <c r="F156" s="9">
        <v>1</v>
      </c>
      <c r="G156" s="10" t="s">
        <v>67</v>
      </c>
      <c r="H156" s="9" t="s">
        <v>74</v>
      </c>
      <c r="I156" s="9">
        <v>53</v>
      </c>
      <c r="J156" s="9" t="s">
        <v>134</v>
      </c>
      <c r="K156" s="38">
        <f t="shared" si="12"/>
        <v>53</v>
      </c>
      <c r="L156" s="38">
        <f t="shared" si="13"/>
        <v>19.756666666666668</v>
      </c>
      <c r="M156" s="38">
        <f t="shared" si="14"/>
        <v>33.243333333333332</v>
      </c>
      <c r="N156" s="38"/>
      <c r="O156" s="38">
        <f t="shared" si="10"/>
        <v>19.756666666666668</v>
      </c>
      <c r="P156" s="38">
        <f t="shared" si="11"/>
        <v>-19.756666666666668</v>
      </c>
      <c r="Q156" s="38"/>
      <c r="R156" s="38"/>
      <c r="S156" s="38"/>
      <c r="T156" s="38"/>
      <c r="U156" s="38"/>
      <c r="V156" s="38"/>
      <c r="W156" s="38"/>
      <c r="X156" s="38"/>
      <c r="Y156" s="9"/>
    </row>
    <row r="157" spans="1:25" hidden="1" x14ac:dyDescent="0.25">
      <c r="A157" s="5" t="s">
        <v>23</v>
      </c>
      <c r="B157" s="9" t="s">
        <v>31</v>
      </c>
      <c r="C157" s="9" t="s">
        <v>42</v>
      </c>
      <c r="D157" s="9" t="s">
        <v>649</v>
      </c>
      <c r="E157" s="22">
        <v>45887</v>
      </c>
      <c r="F157" s="9">
        <v>1</v>
      </c>
      <c r="G157" s="10" t="s">
        <v>67</v>
      </c>
      <c r="H157" s="9" t="s">
        <v>74</v>
      </c>
      <c r="I157" s="9">
        <v>69</v>
      </c>
      <c r="J157" s="9" t="s">
        <v>151</v>
      </c>
      <c r="K157" s="38">
        <f t="shared" si="12"/>
        <v>69</v>
      </c>
      <c r="L157" s="38">
        <f t="shared" si="13"/>
        <v>19.756666666666668</v>
      </c>
      <c r="M157" s="38">
        <f t="shared" si="14"/>
        <v>49.243333333333332</v>
      </c>
      <c r="N157" s="38"/>
      <c r="O157" s="38">
        <f t="shared" si="10"/>
        <v>19.756666666666668</v>
      </c>
      <c r="P157" s="38">
        <f t="shared" si="11"/>
        <v>-19.756666666666668</v>
      </c>
      <c r="Q157" s="38"/>
      <c r="R157" s="38"/>
      <c r="S157" s="38"/>
      <c r="T157" s="38"/>
      <c r="U157" s="38"/>
      <c r="V157" s="38">
        <v>1.65</v>
      </c>
      <c r="W157" s="38"/>
      <c r="X157" s="38"/>
      <c r="Y157" s="9"/>
    </row>
    <row r="158" spans="1:25" hidden="1" x14ac:dyDescent="0.25">
      <c r="A158" s="5" t="s">
        <v>23</v>
      </c>
      <c r="B158" s="9" t="s">
        <v>27</v>
      </c>
      <c r="C158" s="9" t="s">
        <v>43</v>
      </c>
      <c r="D158" s="9" t="s">
        <v>587</v>
      </c>
      <c r="E158" s="22">
        <v>45887</v>
      </c>
      <c r="F158" s="37"/>
      <c r="G158" s="10" t="s">
        <v>68</v>
      </c>
      <c r="H158" s="9" t="s">
        <v>71</v>
      </c>
      <c r="I158" s="9">
        <v>182</v>
      </c>
      <c r="J158" s="9" t="s">
        <v>92</v>
      </c>
      <c r="K158" s="38">
        <f t="shared" si="12"/>
        <v>182</v>
      </c>
      <c r="L158" s="38">
        <f t="shared" si="13"/>
        <v>19.756666666666668</v>
      </c>
      <c r="M158" s="38">
        <f t="shared" si="14"/>
        <v>162.24333333333334</v>
      </c>
      <c r="N158" s="38"/>
      <c r="O158" s="38">
        <f t="shared" si="10"/>
        <v>19.756666666666668</v>
      </c>
      <c r="P158" s="38">
        <f t="shared" si="11"/>
        <v>-19.756666666666668</v>
      </c>
      <c r="Q158" s="38"/>
      <c r="R158" s="38"/>
      <c r="S158" s="38"/>
      <c r="T158" s="38"/>
      <c r="U158" s="38"/>
      <c r="V158" s="38">
        <v>1.57</v>
      </c>
      <c r="W158" s="38"/>
      <c r="X158" s="38"/>
      <c r="Y158" s="9" t="s">
        <v>382</v>
      </c>
    </row>
    <row r="159" spans="1:25" hidden="1" x14ac:dyDescent="0.25">
      <c r="A159" s="5" t="s">
        <v>23</v>
      </c>
      <c r="B159" s="9" t="s">
        <v>28</v>
      </c>
      <c r="C159" s="9" t="s">
        <v>43</v>
      </c>
      <c r="D159" s="9" t="s">
        <v>603</v>
      </c>
      <c r="E159" s="22">
        <v>45888</v>
      </c>
      <c r="F159" s="9">
        <v>1</v>
      </c>
      <c r="G159" s="10" t="s">
        <v>68</v>
      </c>
      <c r="H159" s="9" t="s">
        <v>74</v>
      </c>
      <c r="I159" s="9">
        <v>166</v>
      </c>
      <c r="J159" s="9" t="s">
        <v>105</v>
      </c>
      <c r="K159" s="38">
        <f t="shared" si="12"/>
        <v>166</v>
      </c>
      <c r="L159" s="38">
        <f t="shared" si="13"/>
        <v>19.756666666666668</v>
      </c>
      <c r="M159" s="38">
        <f t="shared" si="14"/>
        <v>146.24333333333334</v>
      </c>
      <c r="N159" s="38"/>
      <c r="O159" s="38">
        <f t="shared" si="10"/>
        <v>19.756666666666668</v>
      </c>
      <c r="P159" s="38">
        <f t="shared" si="11"/>
        <v>-19.756666666666668</v>
      </c>
      <c r="Q159" s="38"/>
      <c r="R159" s="38"/>
      <c r="S159" s="38"/>
      <c r="T159" s="38"/>
      <c r="U159" s="38"/>
      <c r="V159" s="38">
        <v>1.66</v>
      </c>
      <c r="W159" s="38"/>
      <c r="X159" s="38"/>
      <c r="Y159" s="9"/>
    </row>
    <row r="160" spans="1:25" hidden="1" x14ac:dyDescent="0.25">
      <c r="A160" s="5" t="s">
        <v>23</v>
      </c>
      <c r="B160" s="9" t="s">
        <v>29</v>
      </c>
      <c r="C160" s="9" t="s">
        <v>43</v>
      </c>
      <c r="D160" s="9" t="s">
        <v>619</v>
      </c>
      <c r="E160" s="22">
        <v>45888</v>
      </c>
      <c r="F160" s="9">
        <v>6</v>
      </c>
      <c r="G160" s="10" t="s">
        <v>68</v>
      </c>
      <c r="H160" s="9" t="s">
        <v>71</v>
      </c>
      <c r="I160" s="9">
        <v>148</v>
      </c>
      <c r="J160" s="9" t="s">
        <v>115</v>
      </c>
      <c r="K160" s="38">
        <f t="shared" si="12"/>
        <v>148</v>
      </c>
      <c r="L160" s="38">
        <f t="shared" si="13"/>
        <v>19.756666666666668</v>
      </c>
      <c r="M160" s="38">
        <f t="shared" si="14"/>
        <v>128.24333333333334</v>
      </c>
      <c r="N160" s="38"/>
      <c r="O160" s="38">
        <f t="shared" si="10"/>
        <v>19.756666666666668</v>
      </c>
      <c r="P160" s="38">
        <f t="shared" si="11"/>
        <v>-19.756666666666668</v>
      </c>
      <c r="Q160" s="38"/>
      <c r="R160" s="38"/>
      <c r="S160" s="38"/>
      <c r="T160" s="38"/>
      <c r="U160" s="38"/>
      <c r="V160" s="38">
        <v>1.66</v>
      </c>
      <c r="W160" s="38"/>
      <c r="X160" s="38"/>
      <c r="Y160" s="9"/>
    </row>
    <row r="161" spans="1:25" hidden="1" x14ac:dyDescent="0.25">
      <c r="A161" s="5" t="s">
        <v>23</v>
      </c>
      <c r="B161" s="9" t="s">
        <v>30</v>
      </c>
      <c r="C161" s="9" t="s">
        <v>43</v>
      </c>
      <c r="D161" s="9" t="s">
        <v>635</v>
      </c>
      <c r="E161" s="22">
        <v>45888</v>
      </c>
      <c r="F161" s="9">
        <v>4</v>
      </c>
      <c r="G161" s="10" t="s">
        <v>68</v>
      </c>
      <c r="H161" s="9" t="s">
        <v>74</v>
      </c>
      <c r="I161" s="9">
        <v>101</v>
      </c>
      <c r="J161" s="9"/>
      <c r="K161" s="38">
        <f t="shared" si="12"/>
        <v>101</v>
      </c>
      <c r="L161" s="38">
        <f t="shared" si="13"/>
        <v>19.756666666666668</v>
      </c>
      <c r="M161" s="38">
        <f t="shared" si="14"/>
        <v>81.243333333333339</v>
      </c>
      <c r="N161" s="38"/>
      <c r="O161" s="38">
        <f t="shared" si="10"/>
        <v>19.756666666666668</v>
      </c>
      <c r="P161" s="38">
        <f t="shared" si="11"/>
        <v>-19.756666666666668</v>
      </c>
      <c r="Q161" s="38"/>
      <c r="R161" s="38"/>
      <c r="S161" s="38"/>
      <c r="T161" s="38"/>
      <c r="U161" s="38"/>
      <c r="V161" s="38">
        <v>1.66</v>
      </c>
      <c r="W161" s="38"/>
      <c r="X161" s="38"/>
      <c r="Y161" s="9"/>
    </row>
    <row r="162" spans="1:25" hidden="1" x14ac:dyDescent="0.25">
      <c r="A162" s="5" t="s">
        <v>23</v>
      </c>
      <c r="B162" s="9" t="s">
        <v>31</v>
      </c>
      <c r="C162" s="9" t="s">
        <v>43</v>
      </c>
      <c r="D162" s="9" t="s">
        <v>650</v>
      </c>
      <c r="E162" s="22">
        <v>45887</v>
      </c>
      <c r="F162" s="9">
        <v>4</v>
      </c>
      <c r="G162" s="10" t="s">
        <v>68</v>
      </c>
      <c r="H162" s="9" t="s">
        <v>74</v>
      </c>
      <c r="I162" s="9">
        <v>106</v>
      </c>
      <c r="J162" s="9" t="s">
        <v>152</v>
      </c>
      <c r="K162" s="38">
        <f t="shared" si="12"/>
        <v>106</v>
      </c>
      <c r="L162" s="38">
        <f t="shared" si="13"/>
        <v>19.756666666666668</v>
      </c>
      <c r="M162" s="38">
        <f t="shared" si="14"/>
        <v>86.243333333333339</v>
      </c>
      <c r="N162" s="38"/>
      <c r="O162" s="38">
        <f t="shared" si="10"/>
        <v>19.756666666666668</v>
      </c>
      <c r="P162" s="38">
        <f t="shared" si="11"/>
        <v>-19.756666666666668</v>
      </c>
      <c r="Q162" s="38"/>
      <c r="R162" s="38"/>
      <c r="S162" s="38"/>
      <c r="T162" s="38"/>
      <c r="U162" s="38"/>
      <c r="V162" s="38">
        <v>2.54</v>
      </c>
      <c r="W162" s="38"/>
      <c r="X162" s="38"/>
      <c r="Y162" s="9"/>
    </row>
    <row r="163" spans="1:25" hidden="1" x14ac:dyDescent="0.25">
      <c r="A163" s="5" t="s">
        <v>23</v>
      </c>
      <c r="B163" s="9" t="s">
        <v>27</v>
      </c>
      <c r="C163" s="9" t="s">
        <v>392</v>
      </c>
      <c r="D163" s="9" t="s">
        <v>572</v>
      </c>
      <c r="E163" s="22">
        <v>45887</v>
      </c>
      <c r="F163" s="9">
        <v>2</v>
      </c>
      <c r="G163" s="10" t="s">
        <v>48</v>
      </c>
      <c r="H163" s="9" t="s">
        <v>71</v>
      </c>
      <c r="I163" s="9">
        <v>72</v>
      </c>
      <c r="J163" s="9" t="s">
        <v>72</v>
      </c>
      <c r="K163" s="38">
        <f t="shared" si="12"/>
        <v>72</v>
      </c>
      <c r="L163" s="38">
        <f t="shared" si="13"/>
        <v>19.756666666666668</v>
      </c>
      <c r="M163" s="38">
        <f t="shared" si="14"/>
        <v>52.243333333333332</v>
      </c>
      <c r="N163" s="38"/>
      <c r="O163" s="38">
        <f t="shared" si="10"/>
        <v>19.756666666666668</v>
      </c>
      <c r="P163" s="38">
        <f t="shared" si="11"/>
        <v>-19.756666666666668</v>
      </c>
      <c r="Q163" s="38"/>
      <c r="R163" s="38"/>
      <c r="S163" s="38"/>
      <c r="T163" s="38"/>
      <c r="U163" s="38"/>
      <c r="V163" s="38"/>
      <c r="W163" s="38"/>
      <c r="X163" s="38"/>
      <c r="Y163" s="31"/>
    </row>
    <row r="164" spans="1:25" hidden="1" x14ac:dyDescent="0.25">
      <c r="A164" s="5" t="s">
        <v>23</v>
      </c>
      <c r="B164" s="9" t="s">
        <v>28</v>
      </c>
      <c r="C164" s="9" t="s">
        <v>392</v>
      </c>
      <c r="D164" s="9" t="s">
        <v>588</v>
      </c>
      <c r="E164" s="22">
        <v>45888</v>
      </c>
      <c r="F164" s="9">
        <v>2</v>
      </c>
      <c r="G164" s="10" t="s">
        <v>48</v>
      </c>
      <c r="H164" s="9" t="s">
        <v>74</v>
      </c>
      <c r="I164" s="9">
        <v>164</v>
      </c>
      <c r="J164" s="9" t="s">
        <v>93</v>
      </c>
      <c r="K164" s="38">
        <f t="shared" si="12"/>
        <v>164</v>
      </c>
      <c r="L164" s="38">
        <f t="shared" si="13"/>
        <v>19.756666666666668</v>
      </c>
      <c r="M164" s="38">
        <f t="shared" si="14"/>
        <v>144.24333333333334</v>
      </c>
      <c r="N164" s="38"/>
      <c r="O164" s="38">
        <f t="shared" si="10"/>
        <v>19.756666666666668</v>
      </c>
      <c r="P164" s="38">
        <f t="shared" si="11"/>
        <v>-19.756666666666668</v>
      </c>
      <c r="Q164" s="38"/>
      <c r="R164" s="38"/>
      <c r="S164" s="38"/>
      <c r="T164" s="38"/>
      <c r="U164" s="38"/>
      <c r="V164" s="38"/>
      <c r="W164" s="38"/>
      <c r="X164" s="38"/>
      <c r="Y164" s="9"/>
    </row>
    <row r="165" spans="1:25" hidden="1" x14ac:dyDescent="0.25">
      <c r="A165" s="5" t="s">
        <v>23</v>
      </c>
      <c r="B165" s="9" t="s">
        <v>29</v>
      </c>
      <c r="C165" s="9" t="s">
        <v>392</v>
      </c>
      <c r="D165" s="9" t="s">
        <v>604</v>
      </c>
      <c r="E165" s="22">
        <v>45888</v>
      </c>
      <c r="F165" s="9">
        <v>2</v>
      </c>
      <c r="G165" s="10" t="s">
        <v>48</v>
      </c>
      <c r="H165" s="9" t="s">
        <v>74</v>
      </c>
      <c r="I165" s="9">
        <v>135</v>
      </c>
      <c r="J165" s="9" t="s">
        <v>106</v>
      </c>
      <c r="K165" s="38">
        <f t="shared" si="12"/>
        <v>135</v>
      </c>
      <c r="L165" s="38">
        <f t="shared" si="13"/>
        <v>19.756666666666668</v>
      </c>
      <c r="M165" s="38">
        <f t="shared" si="14"/>
        <v>115.24333333333334</v>
      </c>
      <c r="N165" s="38"/>
      <c r="O165" s="38">
        <f t="shared" si="10"/>
        <v>19.756666666666668</v>
      </c>
      <c r="P165" s="38">
        <f t="shared" si="11"/>
        <v>-19.756666666666668</v>
      </c>
      <c r="Q165" s="38"/>
      <c r="R165" s="38"/>
      <c r="S165" s="38"/>
      <c r="T165" s="38"/>
      <c r="U165" s="38"/>
      <c r="V165" s="38"/>
      <c r="W165" s="38"/>
      <c r="X165" s="38"/>
      <c r="Y165" s="9"/>
    </row>
    <row r="166" spans="1:25" hidden="1" x14ac:dyDescent="0.25">
      <c r="A166" s="5" t="s">
        <v>23</v>
      </c>
      <c r="B166" s="9" t="s">
        <v>30</v>
      </c>
      <c r="C166" s="9" t="s">
        <v>392</v>
      </c>
      <c r="D166" s="9" t="s">
        <v>620</v>
      </c>
      <c r="E166" s="22">
        <v>45888</v>
      </c>
      <c r="F166" s="9">
        <v>2</v>
      </c>
      <c r="G166" s="10" t="s">
        <v>48</v>
      </c>
      <c r="H166" s="9" t="s">
        <v>116</v>
      </c>
      <c r="I166" s="9">
        <v>175</v>
      </c>
      <c r="J166" s="9" t="s">
        <v>117</v>
      </c>
      <c r="K166" s="38">
        <f t="shared" si="12"/>
        <v>175</v>
      </c>
      <c r="L166" s="38">
        <f t="shared" si="13"/>
        <v>19.756666666666668</v>
      </c>
      <c r="M166" s="38">
        <f t="shared" si="14"/>
        <v>155.24333333333334</v>
      </c>
      <c r="N166" s="38"/>
      <c r="O166" s="38">
        <f t="shared" si="10"/>
        <v>19.756666666666668</v>
      </c>
      <c r="P166" s="38">
        <f t="shared" si="11"/>
        <v>-19.756666666666668</v>
      </c>
      <c r="Q166" s="38"/>
      <c r="R166" s="38"/>
      <c r="S166" s="38"/>
      <c r="T166" s="38"/>
      <c r="U166" s="38"/>
      <c r="V166" s="38"/>
      <c r="W166" s="38"/>
      <c r="X166" s="38"/>
      <c r="Y166" s="9"/>
    </row>
    <row r="167" spans="1:25" ht="30" hidden="1" x14ac:dyDescent="0.25">
      <c r="A167" s="5" t="s">
        <v>23</v>
      </c>
      <c r="B167" s="9" t="s">
        <v>31</v>
      </c>
      <c r="C167" s="9" t="s">
        <v>392</v>
      </c>
      <c r="D167" s="9" t="s">
        <v>571</v>
      </c>
      <c r="E167" s="22">
        <v>45887</v>
      </c>
      <c r="F167" s="9">
        <v>2</v>
      </c>
      <c r="G167" s="10" t="s">
        <v>48</v>
      </c>
      <c r="H167" s="9" t="s">
        <v>116</v>
      </c>
      <c r="I167" s="9">
        <v>109</v>
      </c>
      <c r="J167" s="9" t="s">
        <v>135</v>
      </c>
      <c r="K167" s="38">
        <f t="shared" si="12"/>
        <v>109</v>
      </c>
      <c r="L167" s="38">
        <f t="shared" si="13"/>
        <v>19.756666666666668</v>
      </c>
      <c r="M167" s="38">
        <f t="shared" si="14"/>
        <v>89.243333333333339</v>
      </c>
      <c r="N167" s="38"/>
      <c r="O167" s="38">
        <f t="shared" si="10"/>
        <v>19.756666666666668</v>
      </c>
      <c r="P167" s="38">
        <f t="shared" si="11"/>
        <v>-19.756666666666668</v>
      </c>
      <c r="Q167" s="38"/>
      <c r="R167" s="38"/>
      <c r="S167" s="38"/>
      <c r="T167" s="38"/>
      <c r="U167" s="38"/>
      <c r="V167" s="38"/>
      <c r="W167" s="38"/>
      <c r="X167" s="38"/>
      <c r="Y167" s="9"/>
    </row>
    <row r="168" spans="1:25" hidden="1" x14ac:dyDescent="0.25">
      <c r="A168" s="5" t="s">
        <v>23</v>
      </c>
      <c r="B168" s="9" t="s">
        <v>27</v>
      </c>
      <c r="C168" s="9" t="s">
        <v>393</v>
      </c>
      <c r="D168" s="9" t="s">
        <v>572</v>
      </c>
      <c r="E168" s="22">
        <v>45887</v>
      </c>
      <c r="F168" s="9">
        <v>2</v>
      </c>
      <c r="G168" s="10" t="s">
        <v>49</v>
      </c>
      <c r="H168" s="9" t="s">
        <v>71</v>
      </c>
      <c r="I168" s="9">
        <v>40</v>
      </c>
      <c r="J168" s="9" t="s">
        <v>73</v>
      </c>
      <c r="K168" s="38">
        <f t="shared" si="12"/>
        <v>40</v>
      </c>
      <c r="L168" s="38">
        <f t="shared" si="13"/>
        <v>19.756666666666668</v>
      </c>
      <c r="M168" s="38">
        <f t="shared" si="14"/>
        <v>20.243333333333332</v>
      </c>
      <c r="N168" s="38"/>
      <c r="O168" s="38">
        <f t="shared" si="10"/>
        <v>19.756666666666668</v>
      </c>
      <c r="P168" s="38">
        <f t="shared" si="11"/>
        <v>-19.756666666666668</v>
      </c>
      <c r="Q168" s="38"/>
      <c r="R168" s="38"/>
      <c r="S168" s="38"/>
      <c r="T168" s="38"/>
      <c r="U168" s="38"/>
      <c r="V168" s="38"/>
      <c r="W168" s="38"/>
      <c r="X168" s="38"/>
      <c r="Y168" s="31"/>
    </row>
    <row r="169" spans="1:25" ht="30" hidden="1" x14ac:dyDescent="0.25">
      <c r="A169" s="5" t="s">
        <v>23</v>
      </c>
      <c r="B169" s="9" t="s">
        <v>28</v>
      </c>
      <c r="C169" s="9" t="s">
        <v>393</v>
      </c>
      <c r="D169" s="9" t="s">
        <v>588</v>
      </c>
      <c r="E169" s="22">
        <v>45888</v>
      </c>
      <c r="F169" s="9">
        <v>2</v>
      </c>
      <c r="G169" s="10" t="s">
        <v>49</v>
      </c>
      <c r="H169" s="9" t="s">
        <v>74</v>
      </c>
      <c r="I169" s="9">
        <v>168</v>
      </c>
      <c r="J169" s="9" t="s">
        <v>94</v>
      </c>
      <c r="K169" s="38">
        <f t="shared" si="12"/>
        <v>168</v>
      </c>
      <c r="L169" s="38">
        <f t="shared" si="13"/>
        <v>19.756666666666668</v>
      </c>
      <c r="M169" s="38">
        <f t="shared" si="14"/>
        <v>148.24333333333334</v>
      </c>
      <c r="N169" s="38"/>
      <c r="O169" s="38">
        <f t="shared" si="10"/>
        <v>19.756666666666668</v>
      </c>
      <c r="P169" s="38">
        <f t="shared" si="11"/>
        <v>-19.756666666666668</v>
      </c>
      <c r="Q169" s="38"/>
      <c r="R169" s="38"/>
      <c r="S169" s="38"/>
      <c r="T169" s="38"/>
      <c r="U169" s="38"/>
      <c r="V169" s="38"/>
      <c r="W169" s="38"/>
      <c r="X169" s="38"/>
      <c r="Y169" s="9"/>
    </row>
    <row r="170" spans="1:25" hidden="1" x14ac:dyDescent="0.25">
      <c r="A170" s="5" t="s">
        <v>23</v>
      </c>
      <c r="B170" s="9" t="s">
        <v>29</v>
      </c>
      <c r="C170" s="9" t="s">
        <v>393</v>
      </c>
      <c r="D170" s="9" t="s">
        <v>604</v>
      </c>
      <c r="E170" s="22">
        <v>45888</v>
      </c>
      <c r="F170" s="9">
        <v>2</v>
      </c>
      <c r="G170" s="10" t="s">
        <v>49</v>
      </c>
      <c r="H170" s="9" t="s">
        <v>74</v>
      </c>
      <c r="I170" s="9">
        <v>122</v>
      </c>
      <c r="J170" s="9" t="s">
        <v>106</v>
      </c>
      <c r="K170" s="38">
        <f t="shared" si="12"/>
        <v>122</v>
      </c>
      <c r="L170" s="38">
        <f t="shared" si="13"/>
        <v>19.756666666666668</v>
      </c>
      <c r="M170" s="38">
        <f t="shared" si="14"/>
        <v>102.24333333333334</v>
      </c>
      <c r="N170" s="38"/>
      <c r="O170" s="38">
        <f t="shared" si="10"/>
        <v>19.756666666666668</v>
      </c>
      <c r="P170" s="38">
        <f t="shared" si="11"/>
        <v>-19.756666666666668</v>
      </c>
      <c r="Q170" s="38"/>
      <c r="R170" s="38"/>
      <c r="S170" s="38"/>
      <c r="T170" s="38"/>
      <c r="U170" s="38"/>
      <c r="V170" s="38"/>
      <c r="W170" s="38"/>
      <c r="X170" s="38"/>
      <c r="Y170" s="9"/>
    </row>
    <row r="171" spans="1:25" hidden="1" x14ac:dyDescent="0.25">
      <c r="A171" s="5" t="s">
        <v>23</v>
      </c>
      <c r="B171" s="9" t="s">
        <v>30</v>
      </c>
      <c r="C171" s="9" t="s">
        <v>393</v>
      </c>
      <c r="D171" s="9" t="s">
        <v>620</v>
      </c>
      <c r="E171" s="22">
        <v>45888</v>
      </c>
      <c r="F171" s="9">
        <v>2</v>
      </c>
      <c r="G171" s="10" t="s">
        <v>49</v>
      </c>
      <c r="H171" s="9" t="s">
        <v>116</v>
      </c>
      <c r="I171" s="9">
        <v>124</v>
      </c>
      <c r="J171" s="9" t="s">
        <v>118</v>
      </c>
      <c r="K171" s="38">
        <f t="shared" si="12"/>
        <v>124</v>
      </c>
      <c r="L171" s="38">
        <f t="shared" si="13"/>
        <v>19.756666666666668</v>
      </c>
      <c r="M171" s="38">
        <f t="shared" si="14"/>
        <v>104.24333333333334</v>
      </c>
      <c r="N171" s="38"/>
      <c r="O171" s="38">
        <f t="shared" si="10"/>
        <v>19.756666666666668</v>
      </c>
      <c r="P171" s="38">
        <f t="shared" si="11"/>
        <v>-19.756666666666668</v>
      </c>
      <c r="Q171" s="38"/>
      <c r="R171" s="38"/>
      <c r="S171" s="38"/>
      <c r="T171" s="38"/>
      <c r="U171" s="38"/>
      <c r="V171" s="38"/>
      <c r="W171" s="38"/>
      <c r="X171" s="38"/>
      <c r="Y171" s="9"/>
    </row>
    <row r="172" spans="1:25" hidden="1" x14ac:dyDescent="0.25">
      <c r="A172" s="5" t="s">
        <v>23</v>
      </c>
      <c r="B172" s="9" t="s">
        <v>31</v>
      </c>
      <c r="C172" s="9" t="s">
        <v>393</v>
      </c>
      <c r="D172" s="9" t="s">
        <v>571</v>
      </c>
      <c r="E172" s="22">
        <v>45887</v>
      </c>
      <c r="F172" s="9">
        <v>2</v>
      </c>
      <c r="G172" s="10" t="s">
        <v>49</v>
      </c>
      <c r="H172" s="9" t="s">
        <v>116</v>
      </c>
      <c r="I172" s="9">
        <v>122</v>
      </c>
      <c r="J172" s="9" t="s">
        <v>136</v>
      </c>
      <c r="K172" s="38">
        <f t="shared" si="12"/>
        <v>122</v>
      </c>
      <c r="L172" s="38">
        <f t="shared" si="13"/>
        <v>19.756666666666668</v>
      </c>
      <c r="M172" s="38">
        <f t="shared" si="14"/>
        <v>102.24333333333334</v>
      </c>
      <c r="N172" s="38"/>
      <c r="O172" s="38">
        <f t="shared" si="10"/>
        <v>19.756666666666668</v>
      </c>
      <c r="P172" s="38">
        <f t="shared" si="11"/>
        <v>-19.756666666666668</v>
      </c>
      <c r="Q172" s="38"/>
      <c r="R172" s="38"/>
      <c r="S172" s="38"/>
      <c r="T172" s="38"/>
      <c r="U172" s="38"/>
      <c r="V172" s="38"/>
      <c r="W172" s="38"/>
      <c r="X172" s="38"/>
      <c r="Y172" s="9"/>
    </row>
    <row r="173" spans="1:25" hidden="1" x14ac:dyDescent="0.25">
      <c r="A173" s="5" t="s">
        <v>23</v>
      </c>
      <c r="B173" s="9" t="s">
        <v>27</v>
      </c>
      <c r="C173" s="9" t="s">
        <v>394</v>
      </c>
      <c r="D173" s="9" t="s">
        <v>573</v>
      </c>
      <c r="E173" s="22">
        <v>45887</v>
      </c>
      <c r="F173" s="9">
        <v>2</v>
      </c>
      <c r="G173" s="10" t="s">
        <v>50</v>
      </c>
      <c r="H173" s="9" t="s">
        <v>74</v>
      </c>
      <c r="I173" s="9">
        <v>110</v>
      </c>
      <c r="J173" s="9" t="s">
        <v>75</v>
      </c>
      <c r="K173" s="38">
        <f t="shared" si="12"/>
        <v>110</v>
      </c>
      <c r="L173" s="38">
        <f t="shared" si="13"/>
        <v>19.756666666666668</v>
      </c>
      <c r="M173" s="38">
        <f t="shared" si="14"/>
        <v>90.243333333333339</v>
      </c>
      <c r="N173" s="38"/>
      <c r="O173" s="38">
        <f t="shared" si="10"/>
        <v>19.756666666666668</v>
      </c>
      <c r="P173" s="38">
        <f t="shared" si="11"/>
        <v>-19.756666666666668</v>
      </c>
      <c r="Q173" s="38"/>
      <c r="R173" s="38"/>
      <c r="S173" s="38"/>
      <c r="T173" s="38"/>
      <c r="U173" s="38"/>
      <c r="V173" s="38"/>
      <c r="W173" s="38"/>
      <c r="X173" s="38"/>
      <c r="Y173" s="31"/>
    </row>
    <row r="174" spans="1:25" hidden="1" x14ac:dyDescent="0.25">
      <c r="A174" s="5" t="s">
        <v>23</v>
      </c>
      <c r="B174" s="9" t="s">
        <v>28</v>
      </c>
      <c r="C174" s="9" t="s">
        <v>394</v>
      </c>
      <c r="D174" s="9" t="s">
        <v>589</v>
      </c>
      <c r="E174" s="22">
        <v>45888</v>
      </c>
      <c r="F174" s="9">
        <v>2</v>
      </c>
      <c r="G174" s="10" t="s">
        <v>50</v>
      </c>
      <c r="H174" s="9" t="s">
        <v>74</v>
      </c>
      <c r="I174" s="9">
        <v>162</v>
      </c>
      <c r="J174" s="9" t="s">
        <v>95</v>
      </c>
      <c r="K174" s="38">
        <f t="shared" si="12"/>
        <v>162</v>
      </c>
      <c r="L174" s="38">
        <f t="shared" si="13"/>
        <v>19.756666666666668</v>
      </c>
      <c r="M174" s="38">
        <f t="shared" si="14"/>
        <v>142.24333333333334</v>
      </c>
      <c r="N174" s="38"/>
      <c r="O174" s="38">
        <f t="shared" si="10"/>
        <v>19.756666666666668</v>
      </c>
      <c r="P174" s="38">
        <f t="shared" si="11"/>
        <v>-19.756666666666668</v>
      </c>
      <c r="Q174" s="38"/>
      <c r="R174" s="38"/>
      <c r="S174" s="38"/>
      <c r="T174" s="38"/>
      <c r="U174" s="38"/>
      <c r="V174" s="38"/>
      <c r="W174" s="38"/>
      <c r="X174" s="38"/>
      <c r="Y174" s="9"/>
    </row>
    <row r="175" spans="1:25" hidden="1" x14ac:dyDescent="0.25">
      <c r="A175" s="5" t="s">
        <v>23</v>
      </c>
      <c r="B175" s="9" t="s">
        <v>29</v>
      </c>
      <c r="C175" s="9" t="s">
        <v>394</v>
      </c>
      <c r="D175" s="9" t="s">
        <v>605</v>
      </c>
      <c r="E175" s="22">
        <v>45888</v>
      </c>
      <c r="F175" s="9">
        <v>2</v>
      </c>
      <c r="G175" s="10" t="s">
        <v>50</v>
      </c>
      <c r="H175" s="9" t="s">
        <v>74</v>
      </c>
      <c r="I175" s="9">
        <v>154</v>
      </c>
      <c r="J175" s="9" t="s">
        <v>107</v>
      </c>
      <c r="K175" s="38">
        <f t="shared" si="12"/>
        <v>154</v>
      </c>
      <c r="L175" s="38">
        <f t="shared" si="13"/>
        <v>19.756666666666668</v>
      </c>
      <c r="M175" s="38">
        <f t="shared" si="14"/>
        <v>134.24333333333334</v>
      </c>
      <c r="N175" s="38"/>
      <c r="O175" s="38">
        <f t="shared" si="10"/>
        <v>19.756666666666668</v>
      </c>
      <c r="P175" s="38">
        <f t="shared" si="11"/>
        <v>-19.756666666666668</v>
      </c>
      <c r="Q175" s="38"/>
      <c r="R175" s="38"/>
      <c r="S175" s="38"/>
      <c r="T175" s="38"/>
      <c r="U175" s="38"/>
      <c r="V175" s="38"/>
      <c r="W175" s="38"/>
      <c r="X175" s="38"/>
      <c r="Y175" s="9"/>
    </row>
    <row r="176" spans="1:25" hidden="1" x14ac:dyDescent="0.25">
      <c r="A176" s="5" t="s">
        <v>23</v>
      </c>
      <c r="B176" s="9" t="s">
        <v>30</v>
      </c>
      <c r="C176" s="9" t="s">
        <v>394</v>
      </c>
      <c r="D176" s="9" t="s">
        <v>621</v>
      </c>
      <c r="E176" s="22">
        <v>45888</v>
      </c>
      <c r="F176" s="9">
        <v>2</v>
      </c>
      <c r="G176" s="10" t="s">
        <v>50</v>
      </c>
      <c r="H176" s="9" t="s">
        <v>116</v>
      </c>
      <c r="I176" s="9">
        <v>93</v>
      </c>
      <c r="J176" s="9" t="s">
        <v>119</v>
      </c>
      <c r="K176" s="38">
        <f t="shared" si="12"/>
        <v>93</v>
      </c>
      <c r="L176" s="38">
        <f t="shared" si="13"/>
        <v>19.756666666666668</v>
      </c>
      <c r="M176" s="38">
        <f t="shared" si="14"/>
        <v>73.243333333333339</v>
      </c>
      <c r="N176" s="38"/>
      <c r="O176" s="38">
        <f t="shared" si="10"/>
        <v>19.756666666666668</v>
      </c>
      <c r="P176" s="38">
        <f t="shared" si="11"/>
        <v>-19.756666666666668</v>
      </c>
      <c r="Q176" s="38"/>
      <c r="R176" s="38"/>
      <c r="S176" s="38"/>
      <c r="T176" s="38"/>
      <c r="U176" s="38"/>
      <c r="V176" s="38"/>
      <c r="W176" s="38"/>
      <c r="X176" s="38"/>
      <c r="Y176" s="9"/>
    </row>
    <row r="177" spans="1:25" hidden="1" x14ac:dyDescent="0.25">
      <c r="A177" s="5" t="s">
        <v>23</v>
      </c>
      <c r="B177" s="9" t="s">
        <v>31</v>
      </c>
      <c r="C177" s="9" t="s">
        <v>394</v>
      </c>
      <c r="D177" s="9" t="s">
        <v>636</v>
      </c>
      <c r="E177" s="22">
        <v>45887</v>
      </c>
      <c r="F177" s="9">
        <v>2</v>
      </c>
      <c r="G177" s="10" t="s">
        <v>50</v>
      </c>
      <c r="H177" s="9" t="s">
        <v>116</v>
      </c>
      <c r="I177" s="9">
        <v>91</v>
      </c>
      <c r="J177" s="9" t="s">
        <v>136</v>
      </c>
      <c r="K177" s="38">
        <f t="shared" si="12"/>
        <v>91</v>
      </c>
      <c r="L177" s="38">
        <f t="shared" si="13"/>
        <v>19.756666666666668</v>
      </c>
      <c r="M177" s="38">
        <f t="shared" si="14"/>
        <v>71.243333333333339</v>
      </c>
      <c r="N177" s="38"/>
      <c r="O177" s="38">
        <f t="shared" si="10"/>
        <v>19.756666666666668</v>
      </c>
      <c r="P177" s="38">
        <f t="shared" si="11"/>
        <v>-19.756666666666668</v>
      </c>
      <c r="Q177" s="38"/>
      <c r="R177" s="38"/>
      <c r="S177" s="38"/>
      <c r="T177" s="38"/>
      <c r="U177" s="38"/>
      <c r="V177" s="38"/>
      <c r="W177" s="38"/>
      <c r="X177" s="38"/>
      <c r="Y177" s="9"/>
    </row>
    <row r="178" spans="1:25" hidden="1" x14ac:dyDescent="0.25">
      <c r="A178" s="5" t="s">
        <v>23</v>
      </c>
      <c r="B178" s="9" t="s">
        <v>27</v>
      </c>
      <c r="C178" s="9" t="s">
        <v>395</v>
      </c>
      <c r="D178" s="9" t="s">
        <v>573</v>
      </c>
      <c r="E178" s="22">
        <v>45887</v>
      </c>
      <c r="F178" s="9">
        <v>2</v>
      </c>
      <c r="G178" s="10" t="s">
        <v>51</v>
      </c>
      <c r="H178" s="9" t="s">
        <v>71</v>
      </c>
      <c r="I178" s="9">
        <v>101</v>
      </c>
      <c r="J178" s="9" t="s">
        <v>76</v>
      </c>
      <c r="K178" s="38">
        <f t="shared" si="12"/>
        <v>101</v>
      </c>
      <c r="L178" s="38">
        <f t="shared" si="13"/>
        <v>19.756666666666668</v>
      </c>
      <c r="M178" s="38">
        <f t="shared" si="14"/>
        <v>81.243333333333339</v>
      </c>
      <c r="N178" s="38"/>
      <c r="O178" s="38">
        <f t="shared" ref="O178:O212" si="15">AVERAGE(19.9,19.77,19.6)</f>
        <v>19.756666666666668</v>
      </c>
      <c r="P178" s="38">
        <f t="shared" ref="P178:P212" si="16">N178-O178</f>
        <v>-19.756666666666668</v>
      </c>
      <c r="Q178" s="38"/>
      <c r="R178" s="38"/>
      <c r="S178" s="38"/>
      <c r="T178" s="38"/>
      <c r="U178" s="38"/>
      <c r="V178" s="38"/>
      <c r="W178" s="38"/>
      <c r="X178" s="38"/>
      <c r="Y178" s="9"/>
    </row>
    <row r="179" spans="1:25" hidden="1" x14ac:dyDescent="0.25">
      <c r="A179" s="5" t="s">
        <v>23</v>
      </c>
      <c r="B179" s="9" t="s">
        <v>28</v>
      </c>
      <c r="C179" s="9" t="s">
        <v>395</v>
      </c>
      <c r="D179" s="9" t="s">
        <v>589</v>
      </c>
      <c r="E179" s="22">
        <v>45888</v>
      </c>
      <c r="F179" s="9">
        <v>2</v>
      </c>
      <c r="G179" s="10" t="s">
        <v>51</v>
      </c>
      <c r="H179" s="9" t="s">
        <v>74</v>
      </c>
      <c r="I179" s="9">
        <v>125</v>
      </c>
      <c r="J179" s="9" t="s">
        <v>96</v>
      </c>
      <c r="K179" s="38">
        <f t="shared" si="12"/>
        <v>125</v>
      </c>
      <c r="L179" s="38">
        <f t="shared" si="13"/>
        <v>19.756666666666668</v>
      </c>
      <c r="M179" s="38">
        <f t="shared" si="14"/>
        <v>105.24333333333334</v>
      </c>
      <c r="N179" s="38"/>
      <c r="O179" s="38">
        <f t="shared" si="15"/>
        <v>19.756666666666668</v>
      </c>
      <c r="P179" s="38">
        <f t="shared" si="16"/>
        <v>-19.756666666666668</v>
      </c>
      <c r="Q179" s="38"/>
      <c r="R179" s="38"/>
      <c r="S179" s="38"/>
      <c r="T179" s="38"/>
      <c r="U179" s="38"/>
      <c r="V179" s="38"/>
      <c r="W179" s="38"/>
      <c r="X179" s="38"/>
      <c r="Y179" s="9"/>
    </row>
    <row r="180" spans="1:25" hidden="1" x14ac:dyDescent="0.25">
      <c r="A180" s="5" t="s">
        <v>23</v>
      </c>
      <c r="B180" s="9" t="s">
        <v>29</v>
      </c>
      <c r="C180" s="9" t="s">
        <v>395</v>
      </c>
      <c r="D180" s="9" t="s">
        <v>605</v>
      </c>
      <c r="E180" s="22">
        <v>45888</v>
      </c>
      <c r="F180" s="9">
        <v>2</v>
      </c>
      <c r="G180" s="10" t="s">
        <v>51</v>
      </c>
      <c r="H180" s="9" t="s">
        <v>74</v>
      </c>
      <c r="I180" s="9">
        <v>118</v>
      </c>
      <c r="J180" s="9" t="s">
        <v>107</v>
      </c>
      <c r="K180" s="38">
        <f t="shared" si="12"/>
        <v>118</v>
      </c>
      <c r="L180" s="38">
        <f t="shared" si="13"/>
        <v>19.756666666666668</v>
      </c>
      <c r="M180" s="38">
        <f t="shared" si="14"/>
        <v>98.243333333333339</v>
      </c>
      <c r="N180" s="38"/>
      <c r="O180" s="38">
        <f t="shared" si="15"/>
        <v>19.756666666666668</v>
      </c>
      <c r="P180" s="38">
        <f t="shared" si="16"/>
        <v>-19.756666666666668</v>
      </c>
      <c r="Q180" s="38"/>
      <c r="R180" s="38"/>
      <c r="S180" s="38"/>
      <c r="T180" s="38"/>
      <c r="U180" s="38"/>
      <c r="V180" s="38"/>
      <c r="W180" s="38"/>
      <c r="X180" s="38"/>
      <c r="Y180" s="9"/>
    </row>
    <row r="181" spans="1:25" ht="30" hidden="1" x14ac:dyDescent="0.25">
      <c r="A181" s="5" t="s">
        <v>23</v>
      </c>
      <c r="B181" s="9" t="s">
        <v>30</v>
      </c>
      <c r="C181" s="9" t="s">
        <v>395</v>
      </c>
      <c r="D181" s="9" t="s">
        <v>621</v>
      </c>
      <c r="E181" s="22">
        <v>45888</v>
      </c>
      <c r="F181" s="9">
        <v>2</v>
      </c>
      <c r="G181" s="10" t="s">
        <v>51</v>
      </c>
      <c r="H181" s="9" t="s">
        <v>116</v>
      </c>
      <c r="I181" s="9">
        <v>72</v>
      </c>
      <c r="J181" s="9" t="s">
        <v>120</v>
      </c>
      <c r="K181" s="38">
        <f t="shared" si="12"/>
        <v>72</v>
      </c>
      <c r="L181" s="38">
        <f t="shared" si="13"/>
        <v>19.756666666666668</v>
      </c>
      <c r="M181" s="38">
        <f t="shared" si="14"/>
        <v>52.243333333333332</v>
      </c>
      <c r="N181" s="38"/>
      <c r="O181" s="38">
        <f t="shared" si="15"/>
        <v>19.756666666666668</v>
      </c>
      <c r="P181" s="38">
        <f t="shared" si="16"/>
        <v>-19.756666666666668</v>
      </c>
      <c r="Q181" s="38"/>
      <c r="R181" s="38"/>
      <c r="S181" s="38"/>
      <c r="T181" s="38"/>
      <c r="U181" s="38"/>
      <c r="V181" s="38"/>
      <c r="W181" s="38"/>
      <c r="X181" s="38"/>
      <c r="Y181" s="9"/>
    </row>
    <row r="182" spans="1:25" hidden="1" x14ac:dyDescent="0.25">
      <c r="A182" s="5" t="s">
        <v>23</v>
      </c>
      <c r="B182" s="9" t="s">
        <v>31</v>
      </c>
      <c r="C182" s="9" t="s">
        <v>395</v>
      </c>
      <c r="D182" s="9" t="s">
        <v>636</v>
      </c>
      <c r="E182" s="22">
        <v>45887</v>
      </c>
      <c r="F182" s="9">
        <v>2</v>
      </c>
      <c r="G182" s="10" t="s">
        <v>51</v>
      </c>
      <c r="H182" s="9" t="s">
        <v>116</v>
      </c>
      <c r="I182" s="9">
        <v>139</v>
      </c>
      <c r="J182" s="9" t="s">
        <v>137</v>
      </c>
      <c r="K182" s="38">
        <f t="shared" si="12"/>
        <v>139</v>
      </c>
      <c r="L182" s="38">
        <f t="shared" si="13"/>
        <v>19.756666666666668</v>
      </c>
      <c r="M182" s="38">
        <f t="shared" si="14"/>
        <v>119.24333333333334</v>
      </c>
      <c r="N182" s="38"/>
      <c r="O182" s="38">
        <f t="shared" si="15"/>
        <v>19.756666666666668</v>
      </c>
      <c r="P182" s="38">
        <f t="shared" si="16"/>
        <v>-19.756666666666668</v>
      </c>
      <c r="Q182" s="38"/>
      <c r="R182" s="38"/>
      <c r="S182" s="38"/>
      <c r="T182" s="38"/>
      <c r="U182" s="38"/>
      <c r="V182" s="38"/>
      <c r="W182" s="38"/>
      <c r="X182" s="38"/>
      <c r="Y182" s="9"/>
    </row>
    <row r="183" spans="1:25" hidden="1" x14ac:dyDescent="0.25">
      <c r="A183" s="5" t="s">
        <v>23</v>
      </c>
      <c r="B183" s="9" t="s">
        <v>27</v>
      </c>
      <c r="C183" s="9" t="s">
        <v>396</v>
      </c>
      <c r="D183" s="9" t="s">
        <v>574</v>
      </c>
      <c r="E183" s="22">
        <v>45887</v>
      </c>
      <c r="F183" s="9">
        <v>2</v>
      </c>
      <c r="G183" s="10" t="s">
        <v>52</v>
      </c>
      <c r="H183" s="9" t="s">
        <v>74</v>
      </c>
      <c r="I183" s="9">
        <v>133</v>
      </c>
      <c r="J183" s="9" t="s">
        <v>77</v>
      </c>
      <c r="K183" s="38">
        <f t="shared" ref="K183:K212" si="17">I183</f>
        <v>133</v>
      </c>
      <c r="L183" s="38">
        <f t="shared" ref="L183:L212" si="18">AVERAGE(19.9,19.77,19.6)</f>
        <v>19.756666666666668</v>
      </c>
      <c r="M183" s="38">
        <f t="shared" ref="M183:M212" si="19">K183-L183</f>
        <v>113.24333333333334</v>
      </c>
      <c r="N183" s="38"/>
      <c r="O183" s="38">
        <f t="shared" si="15"/>
        <v>19.756666666666668</v>
      </c>
      <c r="P183" s="38">
        <f t="shared" si="16"/>
        <v>-19.756666666666668</v>
      </c>
      <c r="Q183" s="38"/>
      <c r="R183" s="38"/>
      <c r="S183" s="38"/>
      <c r="T183" s="38"/>
      <c r="U183" s="38"/>
      <c r="V183" s="38"/>
      <c r="W183" s="38"/>
      <c r="X183" s="38"/>
      <c r="Y183" s="9"/>
    </row>
    <row r="184" spans="1:25" ht="30" hidden="1" x14ac:dyDescent="0.25">
      <c r="A184" s="5" t="s">
        <v>23</v>
      </c>
      <c r="B184" s="9" t="s">
        <v>28</v>
      </c>
      <c r="C184" s="9" t="s">
        <v>396</v>
      </c>
      <c r="D184" s="9" t="s">
        <v>590</v>
      </c>
      <c r="E184" s="22">
        <v>45888</v>
      </c>
      <c r="F184" s="9">
        <v>2</v>
      </c>
      <c r="G184" s="10" t="s">
        <v>52</v>
      </c>
      <c r="H184" s="9" t="s">
        <v>74</v>
      </c>
      <c r="I184" s="9">
        <v>124</v>
      </c>
      <c r="J184" s="9" t="s">
        <v>97</v>
      </c>
      <c r="K184" s="38">
        <f t="shared" si="17"/>
        <v>124</v>
      </c>
      <c r="L184" s="38">
        <f t="shared" si="18"/>
        <v>19.756666666666668</v>
      </c>
      <c r="M184" s="38">
        <f t="shared" si="19"/>
        <v>104.24333333333334</v>
      </c>
      <c r="N184" s="38"/>
      <c r="O184" s="38">
        <f t="shared" si="15"/>
        <v>19.756666666666668</v>
      </c>
      <c r="P184" s="38">
        <f t="shared" si="16"/>
        <v>-19.756666666666668</v>
      </c>
      <c r="Q184" s="38"/>
      <c r="R184" s="38"/>
      <c r="S184" s="38"/>
      <c r="T184" s="38"/>
      <c r="U184" s="38"/>
      <c r="V184" s="38"/>
      <c r="W184" s="38"/>
      <c r="X184" s="38"/>
      <c r="Y184" s="9"/>
    </row>
    <row r="185" spans="1:25" hidden="1" x14ac:dyDescent="0.25">
      <c r="A185" s="5" t="s">
        <v>23</v>
      </c>
      <c r="B185" s="9" t="s">
        <v>29</v>
      </c>
      <c r="C185" s="9" t="s">
        <v>396</v>
      </c>
      <c r="D185" s="9" t="s">
        <v>606</v>
      </c>
      <c r="E185" s="22">
        <v>45888</v>
      </c>
      <c r="F185" s="9">
        <v>2</v>
      </c>
      <c r="G185" s="10" t="s">
        <v>52</v>
      </c>
      <c r="H185" s="9" t="s">
        <v>74</v>
      </c>
      <c r="I185" s="9">
        <v>115</v>
      </c>
      <c r="J185" s="9" t="s">
        <v>108</v>
      </c>
      <c r="K185" s="38">
        <f t="shared" si="17"/>
        <v>115</v>
      </c>
      <c r="L185" s="38">
        <f t="shared" si="18"/>
        <v>19.756666666666668</v>
      </c>
      <c r="M185" s="38">
        <f t="shared" si="19"/>
        <v>95.243333333333339</v>
      </c>
      <c r="N185" s="38"/>
      <c r="O185" s="38">
        <f t="shared" si="15"/>
        <v>19.756666666666668</v>
      </c>
      <c r="P185" s="38">
        <f t="shared" si="16"/>
        <v>-19.756666666666668</v>
      </c>
      <c r="Q185" s="38"/>
      <c r="R185" s="38"/>
      <c r="S185" s="38"/>
      <c r="T185" s="38"/>
      <c r="U185" s="38"/>
      <c r="V185" s="38"/>
      <c r="W185" s="38"/>
      <c r="X185" s="38"/>
      <c r="Y185" s="9"/>
    </row>
    <row r="186" spans="1:25" ht="30" hidden="1" x14ac:dyDescent="0.25">
      <c r="A186" s="5" t="s">
        <v>23</v>
      </c>
      <c r="B186" s="9" t="s">
        <v>30</v>
      </c>
      <c r="C186" s="9" t="s">
        <v>396</v>
      </c>
      <c r="D186" s="9" t="s">
        <v>622</v>
      </c>
      <c r="E186" s="22">
        <v>45888</v>
      </c>
      <c r="F186" s="9">
        <v>2</v>
      </c>
      <c r="G186" s="10" t="s">
        <v>52</v>
      </c>
      <c r="H186" s="9" t="s">
        <v>85</v>
      </c>
      <c r="I186" s="9">
        <v>31</v>
      </c>
      <c r="J186" s="9" t="s">
        <v>121</v>
      </c>
      <c r="K186" s="38">
        <f t="shared" si="17"/>
        <v>31</v>
      </c>
      <c r="L186" s="38">
        <f t="shared" si="18"/>
        <v>19.756666666666668</v>
      </c>
      <c r="M186" s="38">
        <f t="shared" si="19"/>
        <v>11.243333333333332</v>
      </c>
      <c r="N186" s="38"/>
      <c r="O186" s="38">
        <f t="shared" si="15"/>
        <v>19.756666666666668</v>
      </c>
      <c r="P186" s="38">
        <f t="shared" si="16"/>
        <v>-19.756666666666668</v>
      </c>
      <c r="Q186" s="38"/>
      <c r="R186" s="38"/>
      <c r="S186" s="38"/>
      <c r="T186" s="38"/>
      <c r="U186" s="38"/>
      <c r="V186" s="38"/>
      <c r="W186" s="38"/>
      <c r="X186" s="38"/>
      <c r="Y186" s="9"/>
    </row>
    <row r="187" spans="1:25" hidden="1" x14ac:dyDescent="0.25">
      <c r="A187" s="5" t="s">
        <v>23</v>
      </c>
      <c r="B187" s="9" t="s">
        <v>31</v>
      </c>
      <c r="C187" s="9" t="s">
        <v>396</v>
      </c>
      <c r="D187" s="9" t="s">
        <v>637</v>
      </c>
      <c r="E187" s="22">
        <v>45887</v>
      </c>
      <c r="F187" s="9">
        <v>2</v>
      </c>
      <c r="G187" s="10" t="s">
        <v>52</v>
      </c>
      <c r="H187" s="9" t="s">
        <v>116</v>
      </c>
      <c r="I187" s="9">
        <v>77</v>
      </c>
      <c r="J187" s="9" t="s">
        <v>138</v>
      </c>
      <c r="K187" s="38">
        <f t="shared" si="17"/>
        <v>77</v>
      </c>
      <c r="L187" s="38">
        <f t="shared" si="18"/>
        <v>19.756666666666668</v>
      </c>
      <c r="M187" s="38">
        <f t="shared" si="19"/>
        <v>57.243333333333332</v>
      </c>
      <c r="N187" s="38"/>
      <c r="O187" s="38">
        <f t="shared" si="15"/>
        <v>19.756666666666668</v>
      </c>
      <c r="P187" s="38">
        <f t="shared" si="16"/>
        <v>-19.756666666666668</v>
      </c>
      <c r="Q187" s="38"/>
      <c r="R187" s="38"/>
      <c r="S187" s="38"/>
      <c r="T187" s="38"/>
      <c r="U187" s="38"/>
      <c r="V187" s="38"/>
      <c r="W187" s="38"/>
      <c r="X187" s="38"/>
      <c r="Y187" s="9"/>
    </row>
    <row r="188" spans="1:25" hidden="1" x14ac:dyDescent="0.25">
      <c r="A188" s="5" t="s">
        <v>23</v>
      </c>
      <c r="B188" s="9" t="s">
        <v>27</v>
      </c>
      <c r="C188" s="9" t="s">
        <v>397</v>
      </c>
      <c r="D188" s="9" t="s">
        <v>574</v>
      </c>
      <c r="E188" s="22">
        <v>45887</v>
      </c>
      <c r="F188" s="9">
        <v>2</v>
      </c>
      <c r="G188" s="10" t="s">
        <v>53</v>
      </c>
      <c r="H188" s="9" t="s">
        <v>74</v>
      </c>
      <c r="I188" s="9">
        <v>101</v>
      </c>
      <c r="J188" s="9" t="s">
        <v>78</v>
      </c>
      <c r="K188" s="38">
        <f t="shared" si="17"/>
        <v>101</v>
      </c>
      <c r="L188" s="38">
        <f t="shared" si="18"/>
        <v>19.756666666666668</v>
      </c>
      <c r="M188" s="38">
        <f t="shared" si="19"/>
        <v>81.243333333333339</v>
      </c>
      <c r="N188" s="38"/>
      <c r="O188" s="38">
        <f t="shared" si="15"/>
        <v>19.756666666666668</v>
      </c>
      <c r="P188" s="38">
        <f t="shared" si="16"/>
        <v>-19.756666666666668</v>
      </c>
      <c r="Q188" s="38"/>
      <c r="R188" s="38"/>
      <c r="S188" s="38"/>
      <c r="T188" s="38"/>
      <c r="U188" s="38"/>
      <c r="V188" s="38"/>
      <c r="W188" s="38"/>
      <c r="X188" s="38"/>
      <c r="Y188" s="9"/>
    </row>
    <row r="189" spans="1:25" hidden="1" x14ac:dyDescent="0.25">
      <c r="A189" s="5" t="s">
        <v>23</v>
      </c>
      <c r="B189" s="9" t="s">
        <v>28</v>
      </c>
      <c r="C189" s="9" t="s">
        <v>397</v>
      </c>
      <c r="D189" s="9" t="s">
        <v>590</v>
      </c>
      <c r="E189" s="22">
        <v>45888</v>
      </c>
      <c r="F189" s="9">
        <v>2</v>
      </c>
      <c r="G189" s="10" t="s">
        <v>53</v>
      </c>
      <c r="H189" s="9" t="s">
        <v>74</v>
      </c>
      <c r="I189" s="9">
        <v>134</v>
      </c>
      <c r="J189" s="9" t="s">
        <v>98</v>
      </c>
      <c r="K189" s="38">
        <f t="shared" si="17"/>
        <v>134</v>
      </c>
      <c r="L189" s="38">
        <f t="shared" si="18"/>
        <v>19.756666666666668</v>
      </c>
      <c r="M189" s="38">
        <f t="shared" si="19"/>
        <v>114.24333333333334</v>
      </c>
      <c r="N189" s="38"/>
      <c r="O189" s="38">
        <f t="shared" si="15"/>
        <v>19.756666666666668</v>
      </c>
      <c r="P189" s="38">
        <f t="shared" si="16"/>
        <v>-19.756666666666668</v>
      </c>
      <c r="Q189" s="38"/>
      <c r="R189" s="38"/>
      <c r="S189" s="38"/>
      <c r="T189" s="38"/>
      <c r="U189" s="38"/>
      <c r="V189" s="38"/>
      <c r="W189" s="38"/>
      <c r="X189" s="38"/>
      <c r="Y189" s="9"/>
    </row>
    <row r="190" spans="1:25" hidden="1" x14ac:dyDescent="0.25">
      <c r="A190" s="5" t="s">
        <v>23</v>
      </c>
      <c r="B190" s="9" t="s">
        <v>29</v>
      </c>
      <c r="C190" s="9" t="s">
        <v>397</v>
      </c>
      <c r="D190" s="9" t="s">
        <v>606</v>
      </c>
      <c r="E190" s="22">
        <v>45888</v>
      </c>
      <c r="F190" s="9">
        <v>2</v>
      </c>
      <c r="G190" s="10" t="s">
        <v>53</v>
      </c>
      <c r="H190" s="9" t="s">
        <v>74</v>
      </c>
      <c r="I190" s="9">
        <v>110</v>
      </c>
      <c r="J190" s="9" t="s">
        <v>99</v>
      </c>
      <c r="K190" s="38">
        <f t="shared" si="17"/>
        <v>110</v>
      </c>
      <c r="L190" s="38">
        <f t="shared" si="18"/>
        <v>19.756666666666668</v>
      </c>
      <c r="M190" s="38">
        <f t="shared" si="19"/>
        <v>90.243333333333339</v>
      </c>
      <c r="N190" s="38"/>
      <c r="O190" s="38">
        <f t="shared" si="15"/>
        <v>19.756666666666668</v>
      </c>
      <c r="P190" s="38">
        <f t="shared" si="16"/>
        <v>-19.756666666666668</v>
      </c>
      <c r="Q190" s="38"/>
      <c r="R190" s="38"/>
      <c r="S190" s="38"/>
      <c r="T190" s="38"/>
      <c r="U190" s="38"/>
      <c r="V190" s="38"/>
      <c r="W190" s="38"/>
      <c r="X190" s="38"/>
      <c r="Y190" s="9"/>
    </row>
    <row r="191" spans="1:25" hidden="1" x14ac:dyDescent="0.25">
      <c r="A191" s="5" t="s">
        <v>23</v>
      </c>
      <c r="B191" s="9" t="s">
        <v>30</v>
      </c>
      <c r="C191" s="9" t="s">
        <v>397</v>
      </c>
      <c r="D191" s="9" t="s">
        <v>622</v>
      </c>
      <c r="E191" s="22">
        <v>45888</v>
      </c>
      <c r="F191" s="9">
        <v>2</v>
      </c>
      <c r="G191" s="10" t="s">
        <v>53</v>
      </c>
      <c r="H191" s="9" t="s">
        <v>85</v>
      </c>
      <c r="I191" s="9">
        <v>37</v>
      </c>
      <c r="J191" s="9" t="s">
        <v>122</v>
      </c>
      <c r="K191" s="38">
        <f t="shared" si="17"/>
        <v>37</v>
      </c>
      <c r="L191" s="38">
        <f t="shared" si="18"/>
        <v>19.756666666666668</v>
      </c>
      <c r="M191" s="38">
        <f t="shared" si="19"/>
        <v>17.243333333333332</v>
      </c>
      <c r="N191" s="38"/>
      <c r="O191" s="38">
        <f t="shared" si="15"/>
        <v>19.756666666666668</v>
      </c>
      <c r="P191" s="38">
        <f t="shared" si="16"/>
        <v>-19.756666666666668</v>
      </c>
      <c r="Q191" s="38"/>
      <c r="R191" s="38"/>
      <c r="S191" s="38"/>
      <c r="T191" s="38"/>
      <c r="U191" s="38"/>
      <c r="V191" s="38"/>
      <c r="W191" s="38"/>
      <c r="X191" s="38"/>
      <c r="Y191" s="9"/>
    </row>
    <row r="192" spans="1:25" hidden="1" x14ac:dyDescent="0.25">
      <c r="A192" s="5" t="s">
        <v>23</v>
      </c>
      <c r="B192" s="9" t="s">
        <v>31</v>
      </c>
      <c r="C192" s="9" t="s">
        <v>397</v>
      </c>
      <c r="D192" s="9" t="s">
        <v>637</v>
      </c>
      <c r="E192" s="22">
        <v>45887</v>
      </c>
      <c r="F192" s="9">
        <v>2</v>
      </c>
      <c r="G192" s="10" t="s">
        <v>53</v>
      </c>
      <c r="H192" s="9" t="s">
        <v>116</v>
      </c>
      <c r="I192" s="9">
        <v>115</v>
      </c>
      <c r="J192" s="9" t="s">
        <v>139</v>
      </c>
      <c r="K192" s="38">
        <f t="shared" si="17"/>
        <v>115</v>
      </c>
      <c r="L192" s="38">
        <f t="shared" si="18"/>
        <v>19.756666666666668</v>
      </c>
      <c r="M192" s="38">
        <f t="shared" si="19"/>
        <v>95.243333333333339</v>
      </c>
      <c r="N192" s="38"/>
      <c r="O192" s="38">
        <f t="shared" si="15"/>
        <v>19.756666666666668</v>
      </c>
      <c r="P192" s="38">
        <f t="shared" si="16"/>
        <v>-19.756666666666668</v>
      </c>
      <c r="Q192" s="38"/>
      <c r="R192" s="38"/>
      <c r="S192" s="38"/>
      <c r="T192" s="38"/>
      <c r="U192" s="38"/>
      <c r="V192" s="38"/>
      <c r="W192" s="38"/>
      <c r="X192" s="38"/>
      <c r="Y192" s="9"/>
    </row>
    <row r="193" spans="1:25" hidden="1" x14ac:dyDescent="0.25">
      <c r="A193" s="5" t="s">
        <v>23</v>
      </c>
      <c r="B193" s="9" t="s">
        <v>27</v>
      </c>
      <c r="C193" s="9" t="s">
        <v>398</v>
      </c>
      <c r="D193" s="9" t="s">
        <v>575</v>
      </c>
      <c r="E193" s="22">
        <v>45887</v>
      </c>
      <c r="F193" s="9">
        <v>2</v>
      </c>
      <c r="G193" s="10" t="s">
        <v>54</v>
      </c>
      <c r="H193" s="9" t="s">
        <v>74</v>
      </c>
      <c r="I193" s="9">
        <v>120</v>
      </c>
      <c r="J193" s="9" t="s">
        <v>79</v>
      </c>
      <c r="K193" s="38">
        <f t="shared" si="17"/>
        <v>120</v>
      </c>
      <c r="L193" s="38">
        <f t="shared" si="18"/>
        <v>19.756666666666668</v>
      </c>
      <c r="M193" s="38">
        <f t="shared" si="19"/>
        <v>100.24333333333334</v>
      </c>
      <c r="N193" s="38"/>
      <c r="O193" s="38">
        <f t="shared" si="15"/>
        <v>19.756666666666668</v>
      </c>
      <c r="P193" s="38">
        <f t="shared" si="16"/>
        <v>-19.756666666666668</v>
      </c>
      <c r="Q193" s="38"/>
      <c r="R193" s="38"/>
      <c r="S193" s="38"/>
      <c r="T193" s="38"/>
      <c r="U193" s="38"/>
      <c r="V193" s="38"/>
      <c r="W193" s="38"/>
      <c r="X193" s="38"/>
      <c r="Y193" s="9"/>
    </row>
    <row r="194" spans="1:25" hidden="1" x14ac:dyDescent="0.25">
      <c r="A194" s="5" t="s">
        <v>23</v>
      </c>
      <c r="B194" s="9" t="s">
        <v>28</v>
      </c>
      <c r="C194" s="9" t="s">
        <v>398</v>
      </c>
      <c r="D194" s="9" t="s">
        <v>591</v>
      </c>
      <c r="E194" s="22">
        <v>45888</v>
      </c>
      <c r="F194" s="9">
        <v>2</v>
      </c>
      <c r="G194" s="10" t="s">
        <v>54</v>
      </c>
      <c r="H194" s="9" t="s">
        <v>74</v>
      </c>
      <c r="I194" s="9">
        <v>103</v>
      </c>
      <c r="J194" s="9" t="s">
        <v>99</v>
      </c>
      <c r="K194" s="38">
        <f t="shared" si="17"/>
        <v>103</v>
      </c>
      <c r="L194" s="38">
        <f t="shared" si="18"/>
        <v>19.756666666666668</v>
      </c>
      <c r="M194" s="38">
        <f t="shared" si="19"/>
        <v>83.243333333333339</v>
      </c>
      <c r="N194" s="38"/>
      <c r="O194" s="38">
        <f t="shared" si="15"/>
        <v>19.756666666666668</v>
      </c>
      <c r="P194" s="38">
        <f t="shared" si="16"/>
        <v>-19.756666666666668</v>
      </c>
      <c r="Q194" s="38"/>
      <c r="R194" s="38"/>
      <c r="S194" s="38"/>
      <c r="T194" s="38"/>
      <c r="U194" s="38"/>
      <c r="V194" s="38"/>
      <c r="W194" s="38"/>
      <c r="X194" s="38"/>
      <c r="Y194" s="9"/>
    </row>
    <row r="195" spans="1:25" hidden="1" x14ac:dyDescent="0.25">
      <c r="A195" s="5" t="s">
        <v>23</v>
      </c>
      <c r="B195" s="9" t="s">
        <v>29</v>
      </c>
      <c r="C195" s="9" t="s">
        <v>398</v>
      </c>
      <c r="D195" s="9" t="s">
        <v>607</v>
      </c>
      <c r="E195" s="22">
        <v>45888</v>
      </c>
      <c r="F195" s="9">
        <v>2</v>
      </c>
      <c r="G195" s="10" t="s">
        <v>54</v>
      </c>
      <c r="H195" s="9" t="s">
        <v>74</v>
      </c>
      <c r="I195" s="9">
        <v>116</v>
      </c>
      <c r="J195" s="9" t="s">
        <v>99</v>
      </c>
      <c r="K195" s="38">
        <f t="shared" si="17"/>
        <v>116</v>
      </c>
      <c r="L195" s="38">
        <f t="shared" si="18"/>
        <v>19.756666666666668</v>
      </c>
      <c r="M195" s="38">
        <f t="shared" si="19"/>
        <v>96.243333333333339</v>
      </c>
      <c r="N195" s="38"/>
      <c r="O195" s="38">
        <f t="shared" si="15"/>
        <v>19.756666666666668</v>
      </c>
      <c r="P195" s="38">
        <f t="shared" si="16"/>
        <v>-19.756666666666668</v>
      </c>
      <c r="Q195" s="38"/>
      <c r="R195" s="38"/>
      <c r="S195" s="38"/>
      <c r="T195" s="38"/>
      <c r="U195" s="38"/>
      <c r="V195" s="38"/>
      <c r="W195" s="38"/>
      <c r="X195" s="38"/>
      <c r="Y195" s="9"/>
    </row>
    <row r="196" spans="1:25" hidden="1" x14ac:dyDescent="0.25">
      <c r="A196" s="5" t="s">
        <v>23</v>
      </c>
      <c r="B196" s="9" t="s">
        <v>30</v>
      </c>
      <c r="C196" s="9" t="s">
        <v>398</v>
      </c>
      <c r="D196" s="9" t="s">
        <v>623</v>
      </c>
      <c r="E196" s="22">
        <v>45888</v>
      </c>
      <c r="F196" s="9">
        <v>2</v>
      </c>
      <c r="G196" s="10" t="s">
        <v>54</v>
      </c>
      <c r="H196" s="9" t="s">
        <v>85</v>
      </c>
      <c r="I196" s="9">
        <v>45</v>
      </c>
      <c r="J196" s="9" t="s">
        <v>122</v>
      </c>
      <c r="K196" s="38">
        <f t="shared" si="17"/>
        <v>45</v>
      </c>
      <c r="L196" s="38">
        <f t="shared" si="18"/>
        <v>19.756666666666668</v>
      </c>
      <c r="M196" s="38">
        <f t="shared" si="19"/>
        <v>25.243333333333332</v>
      </c>
      <c r="N196" s="38"/>
      <c r="O196" s="38">
        <f t="shared" si="15"/>
        <v>19.756666666666668</v>
      </c>
      <c r="P196" s="38">
        <f t="shared" si="16"/>
        <v>-19.756666666666668</v>
      </c>
      <c r="Q196" s="38"/>
      <c r="R196" s="38"/>
      <c r="S196" s="38"/>
      <c r="T196" s="38"/>
      <c r="U196" s="38"/>
      <c r="V196" s="38"/>
      <c r="W196" s="38"/>
      <c r="X196" s="38"/>
      <c r="Y196" s="9"/>
    </row>
    <row r="197" spans="1:25" hidden="1" x14ac:dyDescent="0.25">
      <c r="A197" s="5" t="s">
        <v>23</v>
      </c>
      <c r="B197" s="9" t="s">
        <v>31</v>
      </c>
      <c r="C197" s="9" t="s">
        <v>398</v>
      </c>
      <c r="D197" s="9" t="s">
        <v>638</v>
      </c>
      <c r="E197" s="22">
        <v>45887</v>
      </c>
      <c r="F197" s="9">
        <v>2</v>
      </c>
      <c r="G197" s="10" t="s">
        <v>54</v>
      </c>
      <c r="H197" s="9" t="s">
        <v>116</v>
      </c>
      <c r="I197" s="9">
        <v>85</v>
      </c>
      <c r="J197" s="9" t="s">
        <v>140</v>
      </c>
      <c r="K197" s="38">
        <f t="shared" si="17"/>
        <v>85</v>
      </c>
      <c r="L197" s="38">
        <f t="shared" si="18"/>
        <v>19.756666666666668</v>
      </c>
      <c r="M197" s="38">
        <f t="shared" si="19"/>
        <v>65.243333333333339</v>
      </c>
      <c r="N197" s="38"/>
      <c r="O197" s="38">
        <f t="shared" si="15"/>
        <v>19.756666666666668</v>
      </c>
      <c r="P197" s="38">
        <f t="shared" si="16"/>
        <v>-19.756666666666668</v>
      </c>
      <c r="Q197" s="38"/>
      <c r="R197" s="38"/>
      <c r="S197" s="38"/>
      <c r="T197" s="38"/>
      <c r="U197" s="38"/>
      <c r="V197" s="38"/>
      <c r="W197" s="38"/>
      <c r="X197" s="38"/>
      <c r="Y197" s="9"/>
    </row>
    <row r="198" spans="1:25" hidden="1" x14ac:dyDescent="0.25">
      <c r="A198" s="5" t="s">
        <v>23</v>
      </c>
      <c r="B198" s="9" t="s">
        <v>27</v>
      </c>
      <c r="C198" s="9" t="s">
        <v>399</v>
      </c>
      <c r="D198" s="9" t="s">
        <v>575</v>
      </c>
      <c r="E198" s="22">
        <v>45887</v>
      </c>
      <c r="F198" s="9">
        <v>2</v>
      </c>
      <c r="G198" s="10" t="s">
        <v>55</v>
      </c>
      <c r="H198" s="9" t="s">
        <v>74</v>
      </c>
      <c r="I198" s="9">
        <v>126</v>
      </c>
      <c r="J198" s="9" t="s">
        <v>80</v>
      </c>
      <c r="K198" s="38">
        <f t="shared" si="17"/>
        <v>126</v>
      </c>
      <c r="L198" s="38">
        <f t="shared" si="18"/>
        <v>19.756666666666668</v>
      </c>
      <c r="M198" s="38">
        <f t="shared" si="19"/>
        <v>106.24333333333334</v>
      </c>
      <c r="N198" s="38"/>
      <c r="O198" s="38">
        <f t="shared" si="15"/>
        <v>19.756666666666668</v>
      </c>
      <c r="P198" s="38">
        <f t="shared" si="16"/>
        <v>-19.756666666666668</v>
      </c>
      <c r="Q198" s="38"/>
      <c r="R198" s="38"/>
      <c r="S198" s="38"/>
      <c r="T198" s="38"/>
      <c r="U198" s="38"/>
      <c r="V198" s="38"/>
      <c r="W198" s="38"/>
      <c r="X198" s="38"/>
      <c r="Y198" s="9"/>
    </row>
    <row r="199" spans="1:25" hidden="1" x14ac:dyDescent="0.25">
      <c r="A199" s="5" t="s">
        <v>23</v>
      </c>
      <c r="B199" s="9" t="s">
        <v>28</v>
      </c>
      <c r="C199" s="9" t="s">
        <v>399</v>
      </c>
      <c r="D199" s="9" t="s">
        <v>591</v>
      </c>
      <c r="E199" s="22">
        <v>45888</v>
      </c>
      <c r="F199" s="9">
        <v>2</v>
      </c>
      <c r="G199" s="10" t="s">
        <v>55</v>
      </c>
      <c r="H199" s="9" t="s">
        <v>74</v>
      </c>
      <c r="I199" s="9">
        <v>100</v>
      </c>
      <c r="J199" s="9" t="s">
        <v>99</v>
      </c>
      <c r="K199" s="38">
        <f t="shared" si="17"/>
        <v>100</v>
      </c>
      <c r="L199" s="38">
        <f t="shared" si="18"/>
        <v>19.756666666666668</v>
      </c>
      <c r="M199" s="38">
        <f t="shared" si="19"/>
        <v>80.243333333333339</v>
      </c>
      <c r="N199" s="38"/>
      <c r="O199" s="38">
        <f t="shared" si="15"/>
        <v>19.756666666666668</v>
      </c>
      <c r="P199" s="38">
        <f t="shared" si="16"/>
        <v>-19.756666666666668</v>
      </c>
      <c r="Q199" s="38"/>
      <c r="R199" s="38"/>
      <c r="S199" s="38"/>
      <c r="T199" s="38"/>
      <c r="U199" s="38"/>
      <c r="V199" s="38"/>
      <c r="W199" s="38"/>
      <c r="X199" s="38"/>
      <c r="Y199" s="9"/>
    </row>
    <row r="200" spans="1:25" hidden="1" x14ac:dyDescent="0.25">
      <c r="A200" s="5" t="s">
        <v>23</v>
      </c>
      <c r="B200" s="9" t="s">
        <v>29</v>
      </c>
      <c r="C200" s="9" t="s">
        <v>399</v>
      </c>
      <c r="D200" s="9" t="s">
        <v>607</v>
      </c>
      <c r="E200" s="22">
        <v>45888</v>
      </c>
      <c r="F200" s="9">
        <v>2</v>
      </c>
      <c r="G200" s="10" t="s">
        <v>55</v>
      </c>
      <c r="H200" s="9" t="s">
        <v>71</v>
      </c>
      <c r="I200" s="9">
        <v>97</v>
      </c>
      <c r="J200" s="9" t="s">
        <v>99</v>
      </c>
      <c r="K200" s="38">
        <f t="shared" si="17"/>
        <v>97</v>
      </c>
      <c r="L200" s="38">
        <f t="shared" si="18"/>
        <v>19.756666666666668</v>
      </c>
      <c r="M200" s="38">
        <f t="shared" si="19"/>
        <v>77.243333333333339</v>
      </c>
      <c r="N200" s="38"/>
      <c r="O200" s="38">
        <f t="shared" si="15"/>
        <v>19.756666666666668</v>
      </c>
      <c r="P200" s="38">
        <f t="shared" si="16"/>
        <v>-19.756666666666668</v>
      </c>
      <c r="Q200" s="38"/>
      <c r="R200" s="38"/>
      <c r="S200" s="38"/>
      <c r="T200" s="38"/>
      <c r="U200" s="38"/>
      <c r="V200" s="38"/>
      <c r="W200" s="38"/>
      <c r="X200" s="38"/>
      <c r="Y200" s="9"/>
    </row>
    <row r="201" spans="1:25" hidden="1" x14ac:dyDescent="0.25">
      <c r="A201" s="5" t="s">
        <v>23</v>
      </c>
      <c r="B201" s="9" t="s">
        <v>30</v>
      </c>
      <c r="C201" s="9" t="s">
        <v>399</v>
      </c>
      <c r="D201" s="9" t="s">
        <v>623</v>
      </c>
      <c r="E201" s="22">
        <v>45888</v>
      </c>
      <c r="F201" s="9">
        <v>2</v>
      </c>
      <c r="G201" s="10" t="s">
        <v>55</v>
      </c>
      <c r="H201" s="9" t="s">
        <v>85</v>
      </c>
      <c r="I201" s="9">
        <v>77</v>
      </c>
      <c r="J201" s="9" t="s">
        <v>123</v>
      </c>
      <c r="K201" s="38">
        <f t="shared" si="17"/>
        <v>77</v>
      </c>
      <c r="L201" s="38">
        <f t="shared" si="18"/>
        <v>19.756666666666668</v>
      </c>
      <c r="M201" s="38">
        <f t="shared" si="19"/>
        <v>57.243333333333332</v>
      </c>
      <c r="N201" s="38"/>
      <c r="O201" s="38">
        <f t="shared" si="15"/>
        <v>19.756666666666668</v>
      </c>
      <c r="P201" s="38">
        <f t="shared" si="16"/>
        <v>-19.756666666666668</v>
      </c>
      <c r="Q201" s="38"/>
      <c r="R201" s="38"/>
      <c r="S201" s="38"/>
      <c r="T201" s="38"/>
      <c r="U201" s="38"/>
      <c r="V201" s="38"/>
      <c r="W201" s="38"/>
      <c r="X201" s="38"/>
      <c r="Y201" s="9"/>
    </row>
    <row r="202" spans="1:25" hidden="1" x14ac:dyDescent="0.25">
      <c r="A202" s="5" t="s">
        <v>23</v>
      </c>
      <c r="B202" s="9" t="s">
        <v>31</v>
      </c>
      <c r="C202" s="9" t="s">
        <v>399</v>
      </c>
      <c r="D202" s="9" t="s">
        <v>638</v>
      </c>
      <c r="E202" s="22">
        <v>45887</v>
      </c>
      <c r="F202" s="9">
        <v>2</v>
      </c>
      <c r="G202" s="10" t="s">
        <v>55</v>
      </c>
      <c r="H202" s="9" t="s">
        <v>116</v>
      </c>
      <c r="I202" s="9">
        <v>122</v>
      </c>
      <c r="J202" s="9" t="s">
        <v>141</v>
      </c>
      <c r="K202" s="38">
        <f t="shared" si="17"/>
        <v>122</v>
      </c>
      <c r="L202" s="38">
        <f t="shared" si="18"/>
        <v>19.756666666666668</v>
      </c>
      <c r="M202" s="38">
        <f t="shared" si="19"/>
        <v>102.24333333333334</v>
      </c>
      <c r="N202" s="38"/>
      <c r="O202" s="38">
        <f t="shared" si="15"/>
        <v>19.756666666666668</v>
      </c>
      <c r="P202" s="38">
        <f t="shared" si="16"/>
        <v>-19.756666666666668</v>
      </c>
      <c r="Q202" s="38"/>
      <c r="R202" s="38"/>
      <c r="S202" s="38"/>
      <c r="T202" s="38"/>
      <c r="U202" s="38"/>
      <c r="V202" s="38"/>
      <c r="W202" s="38"/>
      <c r="X202" s="38"/>
      <c r="Y202" s="9"/>
    </row>
    <row r="203" spans="1:25" hidden="1" x14ac:dyDescent="0.25">
      <c r="A203" s="5" t="s">
        <v>23</v>
      </c>
      <c r="B203" s="9" t="s">
        <v>27</v>
      </c>
      <c r="C203" s="9" t="s">
        <v>400</v>
      </c>
      <c r="D203" s="9" t="s">
        <v>576</v>
      </c>
      <c r="E203" s="22">
        <v>45887</v>
      </c>
      <c r="F203" s="9">
        <v>2</v>
      </c>
      <c r="G203" s="10" t="s">
        <v>56</v>
      </c>
      <c r="H203" s="9" t="s">
        <v>74</v>
      </c>
      <c r="I203" s="9">
        <v>97</v>
      </c>
      <c r="J203" s="9" t="s">
        <v>81</v>
      </c>
      <c r="K203" s="38">
        <f t="shared" si="17"/>
        <v>97</v>
      </c>
      <c r="L203" s="38">
        <f t="shared" si="18"/>
        <v>19.756666666666668</v>
      </c>
      <c r="M203" s="38">
        <f t="shared" si="19"/>
        <v>77.243333333333339</v>
      </c>
      <c r="N203" s="38"/>
      <c r="O203" s="38">
        <f t="shared" si="15"/>
        <v>19.756666666666668</v>
      </c>
      <c r="P203" s="38">
        <f t="shared" si="16"/>
        <v>-19.756666666666668</v>
      </c>
      <c r="Q203" s="38"/>
      <c r="R203" s="38"/>
      <c r="S203" s="38"/>
      <c r="T203" s="38"/>
      <c r="U203" s="38"/>
      <c r="V203" s="38"/>
      <c r="W203" s="38"/>
      <c r="X203" s="38"/>
      <c r="Y203" s="9"/>
    </row>
    <row r="204" spans="1:25" hidden="1" x14ac:dyDescent="0.25">
      <c r="A204" s="5" t="s">
        <v>23</v>
      </c>
      <c r="B204" s="9" t="s">
        <v>28</v>
      </c>
      <c r="C204" s="9" t="s">
        <v>400</v>
      </c>
      <c r="D204" s="9" t="s">
        <v>592</v>
      </c>
      <c r="E204" s="22">
        <v>45888</v>
      </c>
      <c r="F204" s="9">
        <v>2</v>
      </c>
      <c r="G204" s="10" t="s">
        <v>56</v>
      </c>
      <c r="H204" s="9" t="s">
        <v>74</v>
      </c>
      <c r="I204" s="9">
        <v>89</v>
      </c>
      <c r="J204" s="9" t="s">
        <v>100</v>
      </c>
      <c r="K204" s="38">
        <f t="shared" si="17"/>
        <v>89</v>
      </c>
      <c r="L204" s="38">
        <f t="shared" si="18"/>
        <v>19.756666666666668</v>
      </c>
      <c r="M204" s="38">
        <f t="shared" si="19"/>
        <v>69.243333333333339</v>
      </c>
      <c r="N204" s="38"/>
      <c r="O204" s="38">
        <f t="shared" si="15"/>
        <v>19.756666666666668</v>
      </c>
      <c r="P204" s="38">
        <f t="shared" si="16"/>
        <v>-19.756666666666668</v>
      </c>
      <c r="Q204" s="38"/>
      <c r="R204" s="38"/>
      <c r="S204" s="38"/>
      <c r="T204" s="38"/>
      <c r="U204" s="38"/>
      <c r="V204" s="38"/>
      <c r="W204" s="38"/>
      <c r="X204" s="38"/>
      <c r="Y204" s="9"/>
    </row>
    <row r="205" spans="1:25" hidden="1" x14ac:dyDescent="0.25">
      <c r="A205" s="5" t="s">
        <v>23</v>
      </c>
      <c r="B205" s="9" t="s">
        <v>29</v>
      </c>
      <c r="C205" s="9" t="s">
        <v>400</v>
      </c>
      <c r="D205" s="9" t="s">
        <v>608</v>
      </c>
      <c r="E205" s="22">
        <v>45888</v>
      </c>
      <c r="F205" s="9">
        <v>2</v>
      </c>
      <c r="G205" s="10" t="s">
        <v>56</v>
      </c>
      <c r="H205" s="9" t="s">
        <v>71</v>
      </c>
      <c r="I205" s="9">
        <v>85</v>
      </c>
      <c r="J205" s="9" t="s">
        <v>99</v>
      </c>
      <c r="K205" s="38">
        <f t="shared" si="17"/>
        <v>85</v>
      </c>
      <c r="L205" s="38">
        <f t="shared" si="18"/>
        <v>19.756666666666668</v>
      </c>
      <c r="M205" s="38">
        <f t="shared" si="19"/>
        <v>65.243333333333339</v>
      </c>
      <c r="N205" s="38"/>
      <c r="O205" s="38">
        <f t="shared" si="15"/>
        <v>19.756666666666668</v>
      </c>
      <c r="P205" s="38">
        <f t="shared" si="16"/>
        <v>-19.756666666666668</v>
      </c>
      <c r="Q205" s="38"/>
      <c r="R205" s="38"/>
      <c r="S205" s="38"/>
      <c r="T205" s="38"/>
      <c r="U205" s="38"/>
      <c r="V205" s="38"/>
      <c r="W205" s="38"/>
      <c r="X205" s="38"/>
      <c r="Y205" s="9"/>
    </row>
    <row r="206" spans="1:25" hidden="1" x14ac:dyDescent="0.25">
      <c r="A206" s="5" t="s">
        <v>23</v>
      </c>
      <c r="B206" s="9" t="s">
        <v>30</v>
      </c>
      <c r="C206" s="9" t="s">
        <v>400</v>
      </c>
      <c r="D206" s="9" t="s">
        <v>624</v>
      </c>
      <c r="E206" s="22">
        <v>45888</v>
      </c>
      <c r="F206" s="9">
        <v>2</v>
      </c>
      <c r="G206" s="10" t="s">
        <v>56</v>
      </c>
      <c r="H206" s="9" t="s">
        <v>85</v>
      </c>
      <c r="I206" s="9">
        <v>63</v>
      </c>
      <c r="J206" s="9" t="s">
        <v>124</v>
      </c>
      <c r="K206" s="38">
        <f t="shared" si="17"/>
        <v>63</v>
      </c>
      <c r="L206" s="38">
        <f t="shared" si="18"/>
        <v>19.756666666666668</v>
      </c>
      <c r="M206" s="38">
        <f t="shared" si="19"/>
        <v>43.243333333333332</v>
      </c>
      <c r="N206" s="38"/>
      <c r="O206" s="38">
        <f t="shared" si="15"/>
        <v>19.756666666666668</v>
      </c>
      <c r="P206" s="38">
        <f t="shared" si="16"/>
        <v>-19.756666666666668</v>
      </c>
      <c r="Q206" s="38"/>
      <c r="R206" s="38"/>
      <c r="S206" s="38"/>
      <c r="T206" s="38"/>
      <c r="U206" s="38"/>
      <c r="V206" s="38"/>
      <c r="W206" s="38"/>
      <c r="X206" s="38"/>
      <c r="Y206" s="9"/>
    </row>
    <row r="207" spans="1:25" hidden="1" x14ac:dyDescent="0.25">
      <c r="A207" s="5" t="s">
        <v>23</v>
      </c>
      <c r="B207" s="9" t="s">
        <v>31</v>
      </c>
      <c r="C207" s="9" t="s">
        <v>400</v>
      </c>
      <c r="D207" s="9" t="s">
        <v>639</v>
      </c>
      <c r="E207" s="22">
        <v>45887</v>
      </c>
      <c r="F207" s="9">
        <v>2</v>
      </c>
      <c r="G207" s="10" t="s">
        <v>56</v>
      </c>
      <c r="H207" s="9" t="s">
        <v>116</v>
      </c>
      <c r="I207" s="9">
        <v>118</v>
      </c>
      <c r="J207" s="9" t="s">
        <v>142</v>
      </c>
      <c r="K207" s="38">
        <f t="shared" si="17"/>
        <v>118</v>
      </c>
      <c r="L207" s="38">
        <f t="shared" si="18"/>
        <v>19.756666666666668</v>
      </c>
      <c r="M207" s="38">
        <f t="shared" si="19"/>
        <v>98.243333333333339</v>
      </c>
      <c r="N207" s="38"/>
      <c r="O207" s="38">
        <f t="shared" si="15"/>
        <v>19.756666666666668</v>
      </c>
      <c r="P207" s="38">
        <f t="shared" si="16"/>
        <v>-19.756666666666668</v>
      </c>
      <c r="Q207" s="38"/>
      <c r="R207" s="38"/>
      <c r="S207" s="38"/>
      <c r="T207" s="38"/>
      <c r="U207" s="38"/>
      <c r="V207" s="38"/>
      <c r="W207" s="38"/>
      <c r="X207" s="38"/>
      <c r="Y207" s="9"/>
    </row>
    <row r="208" spans="1:25" hidden="1" x14ac:dyDescent="0.25">
      <c r="A208" s="5" t="s">
        <v>23</v>
      </c>
      <c r="B208" s="9" t="s">
        <v>27</v>
      </c>
      <c r="C208" s="9" t="s">
        <v>32</v>
      </c>
      <c r="D208" s="9" t="s">
        <v>576</v>
      </c>
      <c r="E208" s="22">
        <v>45887</v>
      </c>
      <c r="F208" s="9">
        <v>2</v>
      </c>
      <c r="G208" s="10" t="s">
        <v>57</v>
      </c>
      <c r="H208" s="9" t="s">
        <v>74</v>
      </c>
      <c r="I208" s="9">
        <v>105</v>
      </c>
      <c r="J208" s="9" t="s">
        <v>82</v>
      </c>
      <c r="K208" s="38">
        <f t="shared" si="17"/>
        <v>105</v>
      </c>
      <c r="L208" s="38">
        <f t="shared" si="18"/>
        <v>19.756666666666668</v>
      </c>
      <c r="M208" s="38">
        <f t="shared" si="19"/>
        <v>85.243333333333339</v>
      </c>
      <c r="N208" s="38"/>
      <c r="O208" s="38">
        <f t="shared" si="15"/>
        <v>19.756666666666668</v>
      </c>
      <c r="P208" s="38">
        <f t="shared" si="16"/>
        <v>-19.756666666666668</v>
      </c>
      <c r="Q208" s="38"/>
      <c r="R208" s="38"/>
      <c r="S208" s="38"/>
      <c r="T208" s="38"/>
      <c r="U208" s="38"/>
      <c r="V208" s="38"/>
      <c r="W208" s="38"/>
      <c r="X208" s="38"/>
      <c r="Y208" s="9"/>
    </row>
    <row r="209" spans="1:25" hidden="1" x14ac:dyDescent="0.25">
      <c r="A209" s="5" t="s">
        <v>23</v>
      </c>
      <c r="B209" s="9" t="s">
        <v>28</v>
      </c>
      <c r="C209" s="9" t="s">
        <v>32</v>
      </c>
      <c r="D209" s="9" t="s">
        <v>592</v>
      </c>
      <c r="E209" s="22">
        <v>45888</v>
      </c>
      <c r="F209" s="9">
        <v>2</v>
      </c>
      <c r="G209" s="10" t="s">
        <v>57</v>
      </c>
      <c r="H209" s="9" t="s">
        <v>85</v>
      </c>
      <c r="I209" s="9">
        <v>88</v>
      </c>
      <c r="J209" s="9" t="s">
        <v>101</v>
      </c>
      <c r="K209" s="38">
        <f t="shared" si="17"/>
        <v>88</v>
      </c>
      <c r="L209" s="38">
        <f t="shared" si="18"/>
        <v>19.756666666666668</v>
      </c>
      <c r="M209" s="38">
        <f t="shared" si="19"/>
        <v>68.243333333333339</v>
      </c>
      <c r="N209" s="38"/>
      <c r="O209" s="38">
        <f t="shared" si="15"/>
        <v>19.756666666666668</v>
      </c>
      <c r="P209" s="38">
        <f t="shared" si="16"/>
        <v>-19.756666666666668</v>
      </c>
      <c r="Q209" s="38"/>
      <c r="R209" s="38"/>
      <c r="S209" s="38"/>
      <c r="T209" s="38"/>
      <c r="U209" s="38"/>
      <c r="V209" s="38"/>
      <c r="W209" s="38"/>
      <c r="X209" s="38"/>
      <c r="Y209" s="31"/>
    </row>
    <row r="210" spans="1:25" hidden="1" x14ac:dyDescent="0.25">
      <c r="A210" s="5" t="s">
        <v>23</v>
      </c>
      <c r="B210" s="9" t="s">
        <v>29</v>
      </c>
      <c r="C210" s="9" t="s">
        <v>32</v>
      </c>
      <c r="D210" s="9" t="s">
        <v>608</v>
      </c>
      <c r="E210" s="22">
        <v>45888</v>
      </c>
      <c r="F210" s="9">
        <v>2</v>
      </c>
      <c r="G210" s="10" t="s">
        <v>57</v>
      </c>
      <c r="H210" s="9" t="s">
        <v>71</v>
      </c>
      <c r="I210" s="9">
        <v>99</v>
      </c>
      <c r="J210" s="9" t="s">
        <v>109</v>
      </c>
      <c r="K210" s="38">
        <f t="shared" si="17"/>
        <v>99</v>
      </c>
      <c r="L210" s="38">
        <f t="shared" si="18"/>
        <v>19.756666666666668</v>
      </c>
      <c r="M210" s="38">
        <f t="shared" si="19"/>
        <v>79.243333333333339</v>
      </c>
      <c r="N210" s="38"/>
      <c r="O210" s="38">
        <f t="shared" si="15"/>
        <v>19.756666666666668</v>
      </c>
      <c r="P210" s="38">
        <f t="shared" si="16"/>
        <v>-19.756666666666668</v>
      </c>
      <c r="Q210" s="38"/>
      <c r="R210" s="38"/>
      <c r="S210" s="38"/>
      <c r="T210" s="38"/>
      <c r="U210" s="38"/>
      <c r="V210" s="38"/>
      <c r="W210" s="38"/>
      <c r="X210" s="38"/>
      <c r="Y210" s="9"/>
    </row>
    <row r="211" spans="1:25" hidden="1" x14ac:dyDescent="0.25">
      <c r="A211" s="5" t="s">
        <v>23</v>
      </c>
      <c r="B211" s="9" t="s">
        <v>30</v>
      </c>
      <c r="C211" s="9" t="s">
        <v>32</v>
      </c>
      <c r="D211" s="9" t="s">
        <v>624</v>
      </c>
      <c r="E211" s="22">
        <v>45888</v>
      </c>
      <c r="F211" s="9">
        <v>2</v>
      </c>
      <c r="G211" s="10" t="s">
        <v>57</v>
      </c>
      <c r="H211" s="9" t="s">
        <v>74</v>
      </c>
      <c r="I211" s="9">
        <v>76</v>
      </c>
      <c r="J211" s="9" t="s">
        <v>125</v>
      </c>
      <c r="K211" s="38">
        <f t="shared" si="17"/>
        <v>76</v>
      </c>
      <c r="L211" s="38">
        <f t="shared" si="18"/>
        <v>19.756666666666668</v>
      </c>
      <c r="M211" s="38">
        <f t="shared" si="19"/>
        <v>56.243333333333332</v>
      </c>
      <c r="N211" s="38"/>
      <c r="O211" s="38">
        <f t="shared" si="15"/>
        <v>19.756666666666668</v>
      </c>
      <c r="P211" s="38">
        <f t="shared" si="16"/>
        <v>-19.756666666666668</v>
      </c>
      <c r="Q211" s="38"/>
      <c r="R211" s="38"/>
      <c r="S211" s="38"/>
      <c r="T211" s="38"/>
      <c r="U211" s="38"/>
      <c r="V211" s="38"/>
      <c r="W211" s="38"/>
      <c r="X211" s="38"/>
      <c r="Y211" s="9"/>
    </row>
    <row r="212" spans="1:25" hidden="1" x14ac:dyDescent="0.25">
      <c r="A212" s="5" t="s">
        <v>23</v>
      </c>
      <c r="B212" s="9" t="s">
        <v>31</v>
      </c>
      <c r="C212" s="9" t="s">
        <v>32</v>
      </c>
      <c r="D212" s="9" t="s">
        <v>639</v>
      </c>
      <c r="E212" s="22">
        <v>45887</v>
      </c>
      <c r="F212" s="9">
        <v>2</v>
      </c>
      <c r="G212" s="10" t="s">
        <v>57</v>
      </c>
      <c r="H212" s="9" t="s">
        <v>85</v>
      </c>
      <c r="I212" s="9">
        <v>125</v>
      </c>
      <c r="J212" s="9" t="s">
        <v>142</v>
      </c>
      <c r="K212" s="38">
        <f t="shared" si="17"/>
        <v>125</v>
      </c>
      <c r="L212" s="38">
        <f t="shared" si="18"/>
        <v>19.756666666666668</v>
      </c>
      <c r="M212" s="38">
        <f t="shared" si="19"/>
        <v>105.24333333333334</v>
      </c>
      <c r="N212" s="38"/>
      <c r="O212" s="38">
        <f t="shared" si="15"/>
        <v>19.756666666666668</v>
      </c>
      <c r="P212" s="38">
        <f t="shared" si="16"/>
        <v>-19.756666666666668</v>
      </c>
      <c r="Q212" s="38"/>
      <c r="R212" s="38"/>
      <c r="S212" s="38"/>
      <c r="T212" s="38"/>
      <c r="U212" s="38"/>
      <c r="V212" s="38"/>
      <c r="W212" s="38"/>
      <c r="X212" s="38"/>
      <c r="Y212" s="9"/>
    </row>
    <row r="213" spans="1:25" ht="30" x14ac:dyDescent="0.25">
      <c r="A213" s="5" t="s">
        <v>303</v>
      </c>
      <c r="B213" s="9" t="s">
        <v>27</v>
      </c>
      <c r="C213" s="9" t="s">
        <v>392</v>
      </c>
      <c r="D213" s="9" t="s">
        <v>460</v>
      </c>
      <c r="E213" s="22">
        <v>45889</v>
      </c>
      <c r="F213" s="9">
        <v>2</v>
      </c>
      <c r="G213" s="10" t="s">
        <v>48</v>
      </c>
      <c r="H213" s="10" t="s">
        <v>71</v>
      </c>
      <c r="I213" s="9">
        <v>136</v>
      </c>
      <c r="J213" s="9" t="s">
        <v>304</v>
      </c>
      <c r="K213" s="38">
        <f t="shared" ref="K213:K244" si="20">I213</f>
        <v>136</v>
      </c>
      <c r="L213" s="38">
        <f t="shared" ref="L213:L244" si="21">AVERAGE(19.9,19.77,19.6)</f>
        <v>19.756666666666668</v>
      </c>
      <c r="M213" s="38">
        <f t="shared" ref="M213:M244" si="22">K213-L213</f>
        <v>116.24333333333334</v>
      </c>
      <c r="N213" s="38">
        <v>129</v>
      </c>
      <c r="O213" s="38">
        <f t="shared" ref="O213:O244" si="23">AVERAGE(19.9,19.77,19.6)</f>
        <v>19.756666666666668</v>
      </c>
      <c r="P213" s="38">
        <f t="shared" ref="P213:P244" si="24">N213-O213</f>
        <v>109.24333333333334</v>
      </c>
      <c r="Q213" s="38"/>
      <c r="R213" s="38">
        <v>527.84</v>
      </c>
      <c r="S213" s="38">
        <v>15.18</v>
      </c>
      <c r="T213" s="38">
        <f t="shared" ref="T213:T244" si="25">R213-S213</f>
        <v>512.66000000000008</v>
      </c>
      <c r="U213" s="38">
        <v>415.01</v>
      </c>
      <c r="V213" s="38">
        <v>1.78</v>
      </c>
      <c r="W213" s="38">
        <f>U213-S213-V213-6</f>
        <v>392.05</v>
      </c>
      <c r="X213" s="38" t="s">
        <v>658</v>
      </c>
      <c r="Y213" s="9" t="s">
        <v>660</v>
      </c>
    </row>
    <row r="214" spans="1:25" ht="30" x14ac:dyDescent="0.25">
      <c r="A214" s="5" t="s">
        <v>303</v>
      </c>
      <c r="B214" s="9" t="s">
        <v>27</v>
      </c>
      <c r="C214" s="9" t="s">
        <v>393</v>
      </c>
      <c r="D214" s="9" t="s">
        <v>460</v>
      </c>
      <c r="E214" s="22">
        <v>45889</v>
      </c>
      <c r="F214" s="9">
        <v>2</v>
      </c>
      <c r="G214" s="10" t="s">
        <v>49</v>
      </c>
      <c r="H214" s="10" t="s">
        <v>71</v>
      </c>
      <c r="I214" s="9">
        <v>120</v>
      </c>
      <c r="J214" s="9" t="s">
        <v>304</v>
      </c>
      <c r="K214" s="38">
        <f t="shared" si="20"/>
        <v>120</v>
      </c>
      <c r="L214" s="38">
        <f t="shared" si="21"/>
        <v>19.756666666666668</v>
      </c>
      <c r="M214" s="38">
        <f t="shared" si="22"/>
        <v>100.24333333333334</v>
      </c>
      <c r="N214" s="38">
        <v>113.74</v>
      </c>
      <c r="O214" s="38">
        <f t="shared" si="23"/>
        <v>19.756666666666668</v>
      </c>
      <c r="P214" s="38">
        <f t="shared" si="24"/>
        <v>93.98333333333332</v>
      </c>
      <c r="Q214" s="38"/>
      <c r="R214" s="38">
        <v>527.84</v>
      </c>
      <c r="S214" s="38">
        <v>15.18</v>
      </c>
      <c r="T214" s="38">
        <f t="shared" si="25"/>
        <v>512.66000000000008</v>
      </c>
      <c r="U214" s="38">
        <v>415.01</v>
      </c>
      <c r="V214" s="38">
        <v>1.78</v>
      </c>
      <c r="W214" s="38">
        <f>U214-S214-V214-6</f>
        <v>392.05</v>
      </c>
      <c r="X214" s="38" t="s">
        <v>658</v>
      </c>
      <c r="Y214" s="9" t="s">
        <v>660</v>
      </c>
    </row>
    <row r="215" spans="1:25" x14ac:dyDescent="0.25">
      <c r="A215" s="5" t="s">
        <v>303</v>
      </c>
      <c r="B215" s="9" t="s">
        <v>27</v>
      </c>
      <c r="C215" s="9" t="s">
        <v>394</v>
      </c>
      <c r="D215" s="9" t="s">
        <v>459</v>
      </c>
      <c r="E215" s="22">
        <v>45889</v>
      </c>
      <c r="F215" s="9">
        <v>2</v>
      </c>
      <c r="G215" s="10" t="s">
        <v>50</v>
      </c>
      <c r="H215" s="10" t="s">
        <v>71</v>
      </c>
      <c r="I215" s="9">
        <v>124</v>
      </c>
      <c r="J215" s="9" t="s">
        <v>305</v>
      </c>
      <c r="K215" s="38">
        <f t="shared" si="20"/>
        <v>124</v>
      </c>
      <c r="L215" s="38">
        <f t="shared" si="21"/>
        <v>19.756666666666668</v>
      </c>
      <c r="M215" s="38">
        <f t="shared" si="22"/>
        <v>104.24333333333334</v>
      </c>
      <c r="N215" s="38">
        <v>118.48</v>
      </c>
      <c r="O215" s="38">
        <f t="shared" si="23"/>
        <v>19.756666666666668</v>
      </c>
      <c r="P215" s="38">
        <f t="shared" si="24"/>
        <v>98.723333333333329</v>
      </c>
      <c r="Q215" s="38"/>
      <c r="R215" s="38">
        <v>414.6</v>
      </c>
      <c r="S215" s="38">
        <v>15.18</v>
      </c>
      <c r="T215" s="38">
        <f t="shared" si="25"/>
        <v>399.42</v>
      </c>
      <c r="U215" s="38">
        <v>342.88</v>
      </c>
      <c r="V215" s="38">
        <v>1.62</v>
      </c>
      <c r="W215" s="38">
        <f t="shared" ref="W215:W246" si="26">U215-S215-V215</f>
        <v>326.08</v>
      </c>
      <c r="X215" s="38" t="s">
        <v>658</v>
      </c>
      <c r="Y215" s="9"/>
    </row>
    <row r="216" spans="1:25" x14ac:dyDescent="0.25">
      <c r="A216" s="5" t="s">
        <v>303</v>
      </c>
      <c r="B216" s="9" t="s">
        <v>27</v>
      </c>
      <c r="C216" s="9" t="s">
        <v>395</v>
      </c>
      <c r="D216" s="9" t="s">
        <v>459</v>
      </c>
      <c r="E216" s="22">
        <v>45889</v>
      </c>
      <c r="F216" s="9">
        <v>2</v>
      </c>
      <c r="G216" s="10" t="s">
        <v>51</v>
      </c>
      <c r="H216" s="10" t="s">
        <v>74</v>
      </c>
      <c r="I216" s="9">
        <v>116</v>
      </c>
      <c r="J216" s="9" t="s">
        <v>304</v>
      </c>
      <c r="K216" s="38">
        <f t="shared" si="20"/>
        <v>116</v>
      </c>
      <c r="L216" s="38">
        <f t="shared" si="21"/>
        <v>19.756666666666668</v>
      </c>
      <c r="M216" s="38">
        <f t="shared" si="22"/>
        <v>96.243333333333339</v>
      </c>
      <c r="N216" s="38">
        <v>110.7</v>
      </c>
      <c r="O216" s="38">
        <f t="shared" si="23"/>
        <v>19.756666666666668</v>
      </c>
      <c r="P216" s="38">
        <f t="shared" si="24"/>
        <v>90.943333333333328</v>
      </c>
      <c r="Q216" s="38"/>
      <c r="R216" s="38">
        <v>414.6</v>
      </c>
      <c r="S216" s="38">
        <v>15.18</v>
      </c>
      <c r="T216" s="38">
        <f t="shared" si="25"/>
        <v>399.42</v>
      </c>
      <c r="U216" s="38">
        <v>342.88</v>
      </c>
      <c r="V216" s="38">
        <v>1.62</v>
      </c>
      <c r="W216" s="38">
        <f t="shared" si="26"/>
        <v>326.08</v>
      </c>
      <c r="X216" s="38" t="s">
        <v>658</v>
      </c>
      <c r="Y216" s="9"/>
    </row>
    <row r="217" spans="1:25" ht="30" hidden="1" x14ac:dyDescent="0.25">
      <c r="A217" s="5" t="s">
        <v>303</v>
      </c>
      <c r="B217" s="9" t="s">
        <v>29</v>
      </c>
      <c r="C217" s="9" t="s">
        <v>392</v>
      </c>
      <c r="D217" s="9" t="s">
        <v>462</v>
      </c>
      <c r="E217" s="22">
        <v>45889</v>
      </c>
      <c r="F217" s="9">
        <v>2</v>
      </c>
      <c r="G217" s="10" t="s">
        <v>48</v>
      </c>
      <c r="H217" s="10" t="s">
        <v>74</v>
      </c>
      <c r="I217" s="9">
        <v>151</v>
      </c>
      <c r="J217" s="9" t="s">
        <v>331</v>
      </c>
      <c r="K217" s="38">
        <f t="shared" si="20"/>
        <v>151</v>
      </c>
      <c r="L217" s="38">
        <f t="shared" si="21"/>
        <v>19.756666666666668</v>
      </c>
      <c r="M217" s="38">
        <f t="shared" si="22"/>
        <v>131.24333333333334</v>
      </c>
      <c r="N217" s="38">
        <v>147.12</v>
      </c>
      <c r="O217" s="38">
        <f t="shared" si="23"/>
        <v>19.756666666666668</v>
      </c>
      <c r="P217" s="38">
        <f t="shared" si="24"/>
        <v>127.36333333333334</v>
      </c>
      <c r="Q217" s="38"/>
      <c r="R217" s="38">
        <v>467.22</v>
      </c>
      <c r="S217" s="38">
        <v>15.18</v>
      </c>
      <c r="T217" s="38">
        <f t="shared" si="25"/>
        <v>452.04</v>
      </c>
      <c r="U217" s="38">
        <v>341.11</v>
      </c>
      <c r="V217" s="38">
        <v>1.87</v>
      </c>
      <c r="W217" s="38">
        <f t="shared" si="26"/>
        <v>324.06</v>
      </c>
      <c r="X217" s="38" t="s">
        <v>658</v>
      </c>
      <c r="Y217" s="9"/>
    </row>
    <row r="218" spans="1:25" hidden="1" x14ac:dyDescent="0.25">
      <c r="A218" s="5" t="s">
        <v>303</v>
      </c>
      <c r="B218" s="9" t="s">
        <v>29</v>
      </c>
      <c r="C218" s="9" t="s">
        <v>393</v>
      </c>
      <c r="D218" s="9" t="s">
        <v>462</v>
      </c>
      <c r="E218" s="22">
        <v>45889</v>
      </c>
      <c r="F218" s="9">
        <v>2</v>
      </c>
      <c r="G218" s="10" t="s">
        <v>49</v>
      </c>
      <c r="H218" s="10" t="s">
        <v>74</v>
      </c>
      <c r="I218" s="9">
        <v>64</v>
      </c>
      <c r="J218" s="9" t="s">
        <v>332</v>
      </c>
      <c r="K218" s="38">
        <f t="shared" si="20"/>
        <v>64</v>
      </c>
      <c r="L218" s="38">
        <f t="shared" si="21"/>
        <v>19.756666666666668</v>
      </c>
      <c r="M218" s="38">
        <f t="shared" si="22"/>
        <v>44.243333333333332</v>
      </c>
      <c r="N218" s="38">
        <v>62.95</v>
      </c>
      <c r="O218" s="38">
        <f t="shared" si="23"/>
        <v>19.756666666666668</v>
      </c>
      <c r="P218" s="38">
        <f t="shared" si="24"/>
        <v>43.193333333333335</v>
      </c>
      <c r="Q218" s="38"/>
      <c r="R218" s="38">
        <v>467.22</v>
      </c>
      <c r="S218" s="38">
        <v>15.18</v>
      </c>
      <c r="T218" s="38">
        <f t="shared" si="25"/>
        <v>452.04</v>
      </c>
      <c r="U218" s="38">
        <v>341.11</v>
      </c>
      <c r="V218" s="38">
        <v>1.87</v>
      </c>
      <c r="W218" s="38">
        <f t="shared" si="26"/>
        <v>324.06</v>
      </c>
      <c r="X218" s="38" t="s">
        <v>658</v>
      </c>
      <c r="Y218" s="9"/>
    </row>
    <row r="219" spans="1:25" x14ac:dyDescent="0.25">
      <c r="A219" s="5" t="s">
        <v>303</v>
      </c>
      <c r="B219" s="9" t="s">
        <v>27</v>
      </c>
      <c r="C219" s="9" t="s">
        <v>396</v>
      </c>
      <c r="D219" s="9" t="s">
        <v>458</v>
      </c>
      <c r="E219" s="22">
        <v>45889</v>
      </c>
      <c r="F219" s="9">
        <v>2</v>
      </c>
      <c r="G219" s="10" t="s">
        <v>52</v>
      </c>
      <c r="H219" s="10" t="s">
        <v>74</v>
      </c>
      <c r="I219" s="9">
        <v>114</v>
      </c>
      <c r="J219" s="9" t="s">
        <v>304</v>
      </c>
      <c r="K219" s="38">
        <f t="shared" si="20"/>
        <v>114</v>
      </c>
      <c r="L219" s="38">
        <f t="shared" si="21"/>
        <v>19.756666666666668</v>
      </c>
      <c r="M219" s="38">
        <f t="shared" si="22"/>
        <v>94.243333333333339</v>
      </c>
      <c r="N219" s="38">
        <v>108.88</v>
      </c>
      <c r="O219" s="38">
        <f t="shared" si="23"/>
        <v>19.756666666666668</v>
      </c>
      <c r="P219" s="38">
        <f t="shared" si="24"/>
        <v>89.123333333333335</v>
      </c>
      <c r="Q219" s="38"/>
      <c r="R219" s="38">
        <v>388.64</v>
      </c>
      <c r="S219" s="38">
        <v>15.18</v>
      </c>
      <c r="T219" s="38">
        <f t="shared" si="25"/>
        <v>373.46</v>
      </c>
      <c r="U219" s="38">
        <v>336.1</v>
      </c>
      <c r="V219" s="38">
        <v>1.58</v>
      </c>
      <c r="W219" s="38">
        <f t="shared" si="26"/>
        <v>319.34000000000003</v>
      </c>
      <c r="X219" s="38" t="s">
        <v>658</v>
      </c>
      <c r="Y219" s="9"/>
    </row>
    <row r="220" spans="1:25" x14ac:dyDescent="0.25">
      <c r="A220" s="5" t="s">
        <v>303</v>
      </c>
      <c r="B220" s="9" t="s">
        <v>27</v>
      </c>
      <c r="C220" s="9" t="s">
        <v>397</v>
      </c>
      <c r="D220" s="9" t="s">
        <v>458</v>
      </c>
      <c r="E220" s="22">
        <v>45889</v>
      </c>
      <c r="F220" s="9">
        <v>2</v>
      </c>
      <c r="G220" s="10" t="s">
        <v>53</v>
      </c>
      <c r="H220" s="10" t="s">
        <v>74</v>
      </c>
      <c r="I220" s="9">
        <v>123</v>
      </c>
      <c r="J220" s="9" t="s">
        <v>262</v>
      </c>
      <c r="K220" s="38">
        <f t="shared" si="20"/>
        <v>123</v>
      </c>
      <c r="L220" s="38">
        <f t="shared" si="21"/>
        <v>19.756666666666668</v>
      </c>
      <c r="M220" s="38">
        <f t="shared" si="22"/>
        <v>103.24333333333334</v>
      </c>
      <c r="N220" s="38">
        <v>117.12</v>
      </c>
      <c r="O220" s="38">
        <f t="shared" si="23"/>
        <v>19.756666666666668</v>
      </c>
      <c r="P220" s="38">
        <f t="shared" si="24"/>
        <v>97.363333333333344</v>
      </c>
      <c r="Q220" s="38"/>
      <c r="R220" s="38">
        <v>388.64</v>
      </c>
      <c r="S220" s="38">
        <v>15.18</v>
      </c>
      <c r="T220" s="38">
        <f t="shared" si="25"/>
        <v>373.46</v>
      </c>
      <c r="U220" s="38">
        <v>336.1</v>
      </c>
      <c r="V220" s="38">
        <v>1.58</v>
      </c>
      <c r="W220" s="38">
        <f t="shared" si="26"/>
        <v>319.34000000000003</v>
      </c>
      <c r="X220" s="38" t="s">
        <v>658</v>
      </c>
      <c r="Y220" s="9"/>
    </row>
    <row r="221" spans="1:25" x14ac:dyDescent="0.25">
      <c r="A221" s="5" t="s">
        <v>303</v>
      </c>
      <c r="B221" s="9" t="s">
        <v>27</v>
      </c>
      <c r="C221" s="9" t="s">
        <v>398</v>
      </c>
      <c r="D221" s="9" t="s">
        <v>457</v>
      </c>
      <c r="E221" s="22">
        <v>45889</v>
      </c>
      <c r="F221" s="9">
        <v>2</v>
      </c>
      <c r="G221" s="10" t="s">
        <v>54</v>
      </c>
      <c r="H221" s="10" t="s">
        <v>74</v>
      </c>
      <c r="I221" s="9">
        <v>123</v>
      </c>
      <c r="J221" s="9" t="s">
        <v>306</v>
      </c>
      <c r="K221" s="38">
        <f t="shared" si="20"/>
        <v>123</v>
      </c>
      <c r="L221" s="38">
        <f t="shared" si="21"/>
        <v>19.756666666666668</v>
      </c>
      <c r="M221" s="38">
        <f t="shared" si="22"/>
        <v>103.24333333333334</v>
      </c>
      <c r="N221" s="38">
        <v>117.04</v>
      </c>
      <c r="O221" s="38">
        <f t="shared" si="23"/>
        <v>19.756666666666668</v>
      </c>
      <c r="P221" s="38">
        <f t="shared" si="24"/>
        <v>97.283333333333331</v>
      </c>
      <c r="Q221" s="38"/>
      <c r="R221" s="38">
        <v>386.22</v>
      </c>
      <c r="S221" s="38">
        <v>15.18</v>
      </c>
      <c r="T221" s="38">
        <f t="shared" si="25"/>
        <v>371.04</v>
      </c>
      <c r="U221" s="38">
        <v>333.2</v>
      </c>
      <c r="V221" s="38">
        <v>1.66</v>
      </c>
      <c r="W221" s="38">
        <f t="shared" si="26"/>
        <v>316.35999999999996</v>
      </c>
      <c r="X221" s="38" t="s">
        <v>658</v>
      </c>
      <c r="Y221" s="9"/>
    </row>
    <row r="222" spans="1:25" x14ac:dyDescent="0.25">
      <c r="A222" s="5" t="s">
        <v>303</v>
      </c>
      <c r="B222" s="9" t="s">
        <v>27</v>
      </c>
      <c r="C222" s="9" t="s">
        <v>399</v>
      </c>
      <c r="D222" s="9" t="s">
        <v>457</v>
      </c>
      <c r="E222" s="22">
        <v>45889</v>
      </c>
      <c r="F222" s="9">
        <v>2</v>
      </c>
      <c r="G222" s="10" t="s">
        <v>55</v>
      </c>
      <c r="H222" s="10" t="s">
        <v>74</v>
      </c>
      <c r="I222" s="9">
        <v>113</v>
      </c>
      <c r="J222" s="9" t="s">
        <v>307</v>
      </c>
      <c r="K222" s="38">
        <f t="shared" si="20"/>
        <v>113</v>
      </c>
      <c r="L222" s="38">
        <f t="shared" si="21"/>
        <v>19.756666666666668</v>
      </c>
      <c r="M222" s="38">
        <f t="shared" si="22"/>
        <v>93.243333333333339</v>
      </c>
      <c r="N222" s="38">
        <v>108.05</v>
      </c>
      <c r="O222" s="38">
        <f t="shared" si="23"/>
        <v>19.756666666666668</v>
      </c>
      <c r="P222" s="38">
        <f t="shared" si="24"/>
        <v>88.293333333333322</v>
      </c>
      <c r="Q222" s="38"/>
      <c r="R222" s="38">
        <v>386.22</v>
      </c>
      <c r="S222" s="38">
        <v>15.18</v>
      </c>
      <c r="T222" s="38">
        <f t="shared" si="25"/>
        <v>371.04</v>
      </c>
      <c r="U222" s="38">
        <v>333.2</v>
      </c>
      <c r="V222" s="38">
        <v>1.66</v>
      </c>
      <c r="W222" s="38">
        <f t="shared" si="26"/>
        <v>316.35999999999996</v>
      </c>
      <c r="X222" s="38" t="s">
        <v>658</v>
      </c>
      <c r="Y222" s="9"/>
    </row>
    <row r="223" spans="1:25" hidden="1" x14ac:dyDescent="0.25">
      <c r="A223" s="5" t="s">
        <v>303</v>
      </c>
      <c r="B223" s="9" t="s">
        <v>30</v>
      </c>
      <c r="C223" s="9" t="s">
        <v>392</v>
      </c>
      <c r="D223" s="9" t="s">
        <v>463</v>
      </c>
      <c r="E223" s="22">
        <v>45889</v>
      </c>
      <c r="F223" s="9">
        <v>2</v>
      </c>
      <c r="G223" s="10" t="s">
        <v>48</v>
      </c>
      <c r="H223" s="10" t="s">
        <v>116</v>
      </c>
      <c r="I223" s="9">
        <v>198</v>
      </c>
      <c r="J223" s="9" t="s">
        <v>343</v>
      </c>
      <c r="K223" s="38">
        <f t="shared" si="20"/>
        <v>198</v>
      </c>
      <c r="L223" s="38">
        <f t="shared" si="21"/>
        <v>19.756666666666668</v>
      </c>
      <c r="M223" s="38">
        <f t="shared" si="22"/>
        <v>178.24333333333334</v>
      </c>
      <c r="N223" s="38">
        <v>163.74</v>
      </c>
      <c r="O223" s="38">
        <f t="shared" si="23"/>
        <v>19.756666666666668</v>
      </c>
      <c r="P223" s="38">
        <f t="shared" si="24"/>
        <v>143.98333333333335</v>
      </c>
      <c r="Q223" s="38"/>
      <c r="R223" s="38">
        <v>467.94</v>
      </c>
      <c r="S223" s="38">
        <v>15.18</v>
      </c>
      <c r="T223" s="38">
        <f t="shared" si="25"/>
        <v>452.76</v>
      </c>
      <c r="U223" s="38">
        <v>331.37</v>
      </c>
      <c r="V223" s="38">
        <v>1.57</v>
      </c>
      <c r="W223" s="38">
        <f t="shared" si="26"/>
        <v>314.62</v>
      </c>
      <c r="X223" s="38" t="s">
        <v>658</v>
      </c>
      <c r="Y223" s="9"/>
    </row>
    <row r="224" spans="1:25" hidden="1" x14ac:dyDescent="0.25">
      <c r="A224" s="5" t="s">
        <v>303</v>
      </c>
      <c r="B224" s="9" t="s">
        <v>30</v>
      </c>
      <c r="C224" s="9" t="s">
        <v>393</v>
      </c>
      <c r="D224" s="9" t="s">
        <v>463</v>
      </c>
      <c r="E224" s="22">
        <v>45889</v>
      </c>
      <c r="F224" s="9">
        <v>2</v>
      </c>
      <c r="G224" s="10" t="s">
        <v>49</v>
      </c>
      <c r="H224" s="10" t="s">
        <v>116</v>
      </c>
      <c r="I224" s="9">
        <v>94</v>
      </c>
      <c r="J224" s="9" t="s">
        <v>344</v>
      </c>
      <c r="K224" s="38">
        <f t="shared" si="20"/>
        <v>94</v>
      </c>
      <c r="L224" s="38">
        <f t="shared" si="21"/>
        <v>19.756666666666668</v>
      </c>
      <c r="M224" s="38">
        <f t="shared" si="22"/>
        <v>74.243333333333339</v>
      </c>
      <c r="N224" s="38">
        <v>79.08</v>
      </c>
      <c r="O224" s="38">
        <f t="shared" si="23"/>
        <v>19.756666666666668</v>
      </c>
      <c r="P224" s="38">
        <f t="shared" si="24"/>
        <v>59.323333333333331</v>
      </c>
      <c r="Q224" s="38"/>
      <c r="R224" s="38">
        <v>467.94</v>
      </c>
      <c r="S224" s="38">
        <v>15.18</v>
      </c>
      <c r="T224" s="38">
        <f t="shared" si="25"/>
        <v>452.76</v>
      </c>
      <c r="U224" s="38">
        <v>331.37</v>
      </c>
      <c r="V224" s="38">
        <v>1.57</v>
      </c>
      <c r="W224" s="38">
        <f t="shared" si="26"/>
        <v>314.62</v>
      </c>
      <c r="X224" s="38" t="s">
        <v>658</v>
      </c>
      <c r="Y224" s="9"/>
    </row>
    <row r="225" spans="1:25" hidden="1" x14ac:dyDescent="0.25">
      <c r="A225" s="5" t="s">
        <v>303</v>
      </c>
      <c r="B225" s="9" t="s">
        <v>28</v>
      </c>
      <c r="C225" s="9" t="s">
        <v>400</v>
      </c>
      <c r="D225" s="9" t="s">
        <v>468</v>
      </c>
      <c r="E225" s="22">
        <v>45889</v>
      </c>
      <c r="F225" s="9">
        <v>2</v>
      </c>
      <c r="G225" s="10" t="s">
        <v>56</v>
      </c>
      <c r="H225" s="10" t="s">
        <v>74</v>
      </c>
      <c r="I225" s="9">
        <v>129</v>
      </c>
      <c r="J225" s="9" t="s">
        <v>324</v>
      </c>
      <c r="K225" s="38">
        <f t="shared" si="20"/>
        <v>129</v>
      </c>
      <c r="L225" s="38">
        <f t="shared" si="21"/>
        <v>19.756666666666668</v>
      </c>
      <c r="M225" s="38">
        <f t="shared" si="22"/>
        <v>109.24333333333334</v>
      </c>
      <c r="N225" s="38">
        <v>124.37</v>
      </c>
      <c r="O225" s="38">
        <f t="shared" si="23"/>
        <v>19.756666666666668</v>
      </c>
      <c r="P225" s="38">
        <f t="shared" si="24"/>
        <v>104.61333333333334</v>
      </c>
      <c r="Q225" s="38"/>
      <c r="R225" s="38">
        <v>428.65</v>
      </c>
      <c r="S225" s="38">
        <v>15.18</v>
      </c>
      <c r="T225" s="38">
        <f t="shared" si="25"/>
        <v>413.46999999999997</v>
      </c>
      <c r="U225" s="38">
        <v>329.34</v>
      </c>
      <c r="V225" s="38">
        <v>1.65</v>
      </c>
      <c r="W225" s="38">
        <f t="shared" si="26"/>
        <v>312.51</v>
      </c>
      <c r="X225" s="38" t="s">
        <v>658</v>
      </c>
      <c r="Y225" s="9"/>
    </row>
    <row r="226" spans="1:25" ht="30" hidden="1" x14ac:dyDescent="0.25">
      <c r="A226" s="5" t="s">
        <v>303</v>
      </c>
      <c r="B226" s="9" t="s">
        <v>28</v>
      </c>
      <c r="C226" s="9" t="s">
        <v>32</v>
      </c>
      <c r="D226" s="9" t="s">
        <v>468</v>
      </c>
      <c r="E226" s="22">
        <v>45889</v>
      </c>
      <c r="F226" s="9">
        <v>2</v>
      </c>
      <c r="G226" s="10" t="s">
        <v>57</v>
      </c>
      <c r="H226" s="10" t="s">
        <v>85</v>
      </c>
      <c r="I226" s="9">
        <v>147</v>
      </c>
      <c r="J226" s="9" t="s">
        <v>325</v>
      </c>
      <c r="K226" s="38">
        <f t="shared" si="20"/>
        <v>147</v>
      </c>
      <c r="L226" s="38">
        <f t="shared" si="21"/>
        <v>19.756666666666668</v>
      </c>
      <c r="M226" s="38">
        <f t="shared" si="22"/>
        <v>127.24333333333334</v>
      </c>
      <c r="N226" s="38">
        <v>143.38999999999999</v>
      </c>
      <c r="O226" s="38">
        <f t="shared" si="23"/>
        <v>19.756666666666668</v>
      </c>
      <c r="P226" s="38">
        <f t="shared" si="24"/>
        <v>123.63333333333333</v>
      </c>
      <c r="Q226" s="38"/>
      <c r="R226" s="38">
        <v>428.65</v>
      </c>
      <c r="S226" s="38">
        <v>15.18</v>
      </c>
      <c r="T226" s="38">
        <f t="shared" si="25"/>
        <v>413.46999999999997</v>
      </c>
      <c r="U226" s="38">
        <v>329.34</v>
      </c>
      <c r="V226" s="38">
        <v>1.65</v>
      </c>
      <c r="W226" s="38">
        <f t="shared" si="26"/>
        <v>312.51</v>
      </c>
      <c r="X226" s="38" t="s">
        <v>658</v>
      </c>
      <c r="Y226" s="9"/>
    </row>
    <row r="227" spans="1:25" hidden="1" x14ac:dyDescent="0.25">
      <c r="A227" s="5" t="s">
        <v>303</v>
      </c>
      <c r="B227" s="9" t="s">
        <v>28</v>
      </c>
      <c r="C227" s="9" t="s">
        <v>396</v>
      </c>
      <c r="D227" s="9" t="s">
        <v>466</v>
      </c>
      <c r="E227" s="22">
        <v>45889</v>
      </c>
      <c r="F227" s="9">
        <v>2</v>
      </c>
      <c r="G227" s="10" t="s">
        <v>52</v>
      </c>
      <c r="H227" s="10" t="s">
        <v>74</v>
      </c>
      <c r="I227" s="9">
        <v>131</v>
      </c>
      <c r="J227" s="9" t="s">
        <v>322</v>
      </c>
      <c r="K227" s="38">
        <f t="shared" si="20"/>
        <v>131</v>
      </c>
      <c r="L227" s="38">
        <f t="shared" si="21"/>
        <v>19.756666666666668</v>
      </c>
      <c r="M227" s="38">
        <f t="shared" si="22"/>
        <v>111.24333333333334</v>
      </c>
      <c r="N227" s="38">
        <v>125.52</v>
      </c>
      <c r="O227" s="38">
        <f t="shared" si="23"/>
        <v>19.756666666666668</v>
      </c>
      <c r="P227" s="38">
        <f t="shared" si="24"/>
        <v>105.76333333333332</v>
      </c>
      <c r="Q227" s="38"/>
      <c r="R227" s="38">
        <v>420.2</v>
      </c>
      <c r="S227" s="38">
        <v>15.18</v>
      </c>
      <c r="T227" s="38">
        <f t="shared" si="25"/>
        <v>405.02</v>
      </c>
      <c r="U227" s="38">
        <v>316.04000000000002</v>
      </c>
      <c r="V227" s="38">
        <v>1.71</v>
      </c>
      <c r="W227" s="38">
        <f t="shared" si="26"/>
        <v>299.15000000000003</v>
      </c>
      <c r="X227" s="38" t="s">
        <v>658</v>
      </c>
      <c r="Y227" s="9" t="s">
        <v>319</v>
      </c>
    </row>
    <row r="228" spans="1:25" hidden="1" x14ac:dyDescent="0.25">
      <c r="A228" s="5" t="s">
        <v>303</v>
      </c>
      <c r="B228" s="9" t="s">
        <v>28</v>
      </c>
      <c r="C228" s="9" t="s">
        <v>397</v>
      </c>
      <c r="D228" s="9" t="s">
        <v>466</v>
      </c>
      <c r="E228" s="22">
        <v>45889</v>
      </c>
      <c r="F228" s="9">
        <v>2</v>
      </c>
      <c r="G228" s="10" t="s">
        <v>53</v>
      </c>
      <c r="H228" s="10" t="s">
        <v>74</v>
      </c>
      <c r="I228" s="9">
        <v>146</v>
      </c>
      <c r="J228" s="9" t="s">
        <v>262</v>
      </c>
      <c r="K228" s="38">
        <f t="shared" si="20"/>
        <v>146</v>
      </c>
      <c r="L228" s="38">
        <f t="shared" si="21"/>
        <v>19.756666666666668</v>
      </c>
      <c r="M228" s="38">
        <f t="shared" si="22"/>
        <v>126.24333333333334</v>
      </c>
      <c r="N228" s="38">
        <v>142.38999999999999</v>
      </c>
      <c r="O228" s="38">
        <f t="shared" si="23"/>
        <v>19.756666666666668</v>
      </c>
      <c r="P228" s="38">
        <f t="shared" si="24"/>
        <v>122.63333333333333</v>
      </c>
      <c r="Q228" s="38"/>
      <c r="R228" s="38">
        <v>420.2</v>
      </c>
      <c r="S228" s="38">
        <v>15.18</v>
      </c>
      <c r="T228" s="38">
        <f t="shared" si="25"/>
        <v>405.02</v>
      </c>
      <c r="U228" s="38">
        <v>316.04000000000002</v>
      </c>
      <c r="V228" s="38">
        <v>1.71</v>
      </c>
      <c r="W228" s="38">
        <f t="shared" si="26"/>
        <v>299.15000000000003</v>
      </c>
      <c r="X228" s="38" t="s">
        <v>658</v>
      </c>
      <c r="Y228" s="9"/>
    </row>
    <row r="229" spans="1:25" hidden="1" x14ac:dyDescent="0.25">
      <c r="A229" s="5" t="s">
        <v>303</v>
      </c>
      <c r="B229" s="9" t="s">
        <v>29</v>
      </c>
      <c r="C229" s="9" t="s">
        <v>400</v>
      </c>
      <c r="D229" s="9" t="s">
        <v>472</v>
      </c>
      <c r="E229" s="22">
        <v>45889</v>
      </c>
      <c r="F229" s="9">
        <v>2</v>
      </c>
      <c r="G229" s="10" t="s">
        <v>56</v>
      </c>
      <c r="H229" s="10" t="s">
        <v>85</v>
      </c>
      <c r="I229" s="9">
        <v>128</v>
      </c>
      <c r="J229" s="9" t="s">
        <v>324</v>
      </c>
      <c r="K229" s="38">
        <f t="shared" si="20"/>
        <v>128</v>
      </c>
      <c r="L229" s="38">
        <f t="shared" si="21"/>
        <v>19.756666666666668</v>
      </c>
      <c r="M229" s="38">
        <f t="shared" si="22"/>
        <v>108.24333333333334</v>
      </c>
      <c r="N229" s="38">
        <v>124.71</v>
      </c>
      <c r="O229" s="38">
        <f t="shared" si="23"/>
        <v>19.756666666666668</v>
      </c>
      <c r="P229" s="38">
        <f t="shared" si="24"/>
        <v>104.95333333333332</v>
      </c>
      <c r="Q229" s="38"/>
      <c r="R229" s="38">
        <v>374.19</v>
      </c>
      <c r="S229" s="38">
        <v>15.18</v>
      </c>
      <c r="T229" s="38">
        <f t="shared" si="25"/>
        <v>359.01</v>
      </c>
      <c r="U229" s="38">
        <v>308.81</v>
      </c>
      <c r="V229" s="38">
        <v>1.8</v>
      </c>
      <c r="W229" s="38">
        <f t="shared" si="26"/>
        <v>291.83</v>
      </c>
      <c r="X229" s="38" t="s">
        <v>658</v>
      </c>
      <c r="Y229" s="9"/>
    </row>
    <row r="230" spans="1:25" ht="30" hidden="1" x14ac:dyDescent="0.25">
      <c r="A230" s="5" t="s">
        <v>303</v>
      </c>
      <c r="B230" s="9" t="s">
        <v>29</v>
      </c>
      <c r="C230" s="9" t="s">
        <v>32</v>
      </c>
      <c r="D230" s="9" t="s">
        <v>472</v>
      </c>
      <c r="E230" s="22">
        <v>45889</v>
      </c>
      <c r="F230" s="9">
        <v>2</v>
      </c>
      <c r="G230" s="10" t="s">
        <v>57</v>
      </c>
      <c r="H230" s="10" t="s">
        <v>74</v>
      </c>
      <c r="I230" s="9">
        <v>104</v>
      </c>
      <c r="J230" s="9" t="s">
        <v>336</v>
      </c>
      <c r="K230" s="38">
        <f t="shared" si="20"/>
        <v>104</v>
      </c>
      <c r="L230" s="38">
        <f t="shared" si="21"/>
        <v>19.756666666666668</v>
      </c>
      <c r="M230" s="38">
        <f t="shared" si="22"/>
        <v>84.243333333333339</v>
      </c>
      <c r="N230" s="38">
        <v>100.17</v>
      </c>
      <c r="O230" s="38">
        <f t="shared" si="23"/>
        <v>19.756666666666668</v>
      </c>
      <c r="P230" s="38">
        <f t="shared" si="24"/>
        <v>80.413333333333327</v>
      </c>
      <c r="Q230" s="38"/>
      <c r="R230" s="38">
        <v>374.19</v>
      </c>
      <c r="S230" s="38">
        <v>15.18</v>
      </c>
      <c r="T230" s="38">
        <f t="shared" si="25"/>
        <v>359.01</v>
      </c>
      <c r="U230" s="38">
        <v>308.81</v>
      </c>
      <c r="V230" s="38">
        <v>1.8</v>
      </c>
      <c r="W230" s="38">
        <f t="shared" si="26"/>
        <v>291.83</v>
      </c>
      <c r="X230" s="38" t="s">
        <v>658</v>
      </c>
      <c r="Y230" s="9"/>
    </row>
    <row r="231" spans="1:25" hidden="1" x14ac:dyDescent="0.25">
      <c r="A231" s="5" t="s">
        <v>303</v>
      </c>
      <c r="B231" s="9" t="s">
        <v>31</v>
      </c>
      <c r="C231" s="9" t="s">
        <v>396</v>
      </c>
      <c r="D231" s="9" t="s">
        <v>478</v>
      </c>
      <c r="E231" s="22">
        <v>45889</v>
      </c>
      <c r="F231" s="9">
        <v>2</v>
      </c>
      <c r="G231" s="10" t="s">
        <v>52</v>
      </c>
      <c r="H231" s="10" t="s">
        <v>116</v>
      </c>
      <c r="I231" s="9">
        <v>117</v>
      </c>
      <c r="J231" s="9" t="s">
        <v>364</v>
      </c>
      <c r="K231" s="38">
        <f t="shared" si="20"/>
        <v>117</v>
      </c>
      <c r="L231" s="38">
        <f t="shared" si="21"/>
        <v>19.756666666666668</v>
      </c>
      <c r="M231" s="38">
        <f t="shared" si="22"/>
        <v>97.243333333333339</v>
      </c>
      <c r="N231" s="38">
        <v>101.12</v>
      </c>
      <c r="O231" s="38">
        <f t="shared" si="23"/>
        <v>19.756666666666668</v>
      </c>
      <c r="P231" s="38">
        <f t="shared" si="24"/>
        <v>81.363333333333344</v>
      </c>
      <c r="Q231" s="38"/>
      <c r="R231" s="38">
        <v>362.38</v>
      </c>
      <c r="S231" s="38">
        <v>15.18</v>
      </c>
      <c r="T231" s="38">
        <f t="shared" si="25"/>
        <v>347.2</v>
      </c>
      <c r="U231" s="38">
        <v>289.33999999999997</v>
      </c>
      <c r="V231" s="38">
        <v>1.77</v>
      </c>
      <c r="W231" s="38">
        <f t="shared" si="26"/>
        <v>272.39</v>
      </c>
      <c r="X231" s="38" t="s">
        <v>658</v>
      </c>
      <c r="Y231" s="9"/>
    </row>
    <row r="232" spans="1:25" hidden="1" x14ac:dyDescent="0.25">
      <c r="A232" s="5" t="s">
        <v>303</v>
      </c>
      <c r="B232" s="9" t="s">
        <v>31</v>
      </c>
      <c r="C232" s="9" t="s">
        <v>397</v>
      </c>
      <c r="D232" s="9" t="s">
        <v>478</v>
      </c>
      <c r="E232" s="22">
        <v>45889</v>
      </c>
      <c r="F232" s="9">
        <v>2</v>
      </c>
      <c r="G232" s="10" t="s">
        <v>53</v>
      </c>
      <c r="H232" s="10" t="s">
        <v>116</v>
      </c>
      <c r="I232" s="9">
        <v>138</v>
      </c>
      <c r="J232" s="9" t="s">
        <v>364</v>
      </c>
      <c r="K232" s="38">
        <f t="shared" si="20"/>
        <v>138</v>
      </c>
      <c r="L232" s="38">
        <f t="shared" si="21"/>
        <v>19.756666666666668</v>
      </c>
      <c r="M232" s="38">
        <f t="shared" si="22"/>
        <v>118.24333333333334</v>
      </c>
      <c r="N232" s="38">
        <v>119.18</v>
      </c>
      <c r="O232" s="38">
        <f t="shared" si="23"/>
        <v>19.756666666666668</v>
      </c>
      <c r="P232" s="38">
        <f t="shared" si="24"/>
        <v>99.423333333333346</v>
      </c>
      <c r="Q232" s="38"/>
      <c r="R232" s="38">
        <v>362.38</v>
      </c>
      <c r="S232" s="38">
        <v>15.18</v>
      </c>
      <c r="T232" s="38">
        <f t="shared" si="25"/>
        <v>347.2</v>
      </c>
      <c r="U232" s="38">
        <v>289.33999999999997</v>
      </c>
      <c r="V232" s="38">
        <v>1.77</v>
      </c>
      <c r="W232" s="38">
        <f t="shared" si="26"/>
        <v>272.39</v>
      </c>
      <c r="X232" s="38" t="s">
        <v>658</v>
      </c>
      <c r="Y232" s="9"/>
    </row>
    <row r="233" spans="1:25" hidden="1" x14ac:dyDescent="0.25">
      <c r="A233" s="5" t="s">
        <v>303</v>
      </c>
      <c r="B233" s="9" t="s">
        <v>29</v>
      </c>
      <c r="C233" s="9" t="s">
        <v>398</v>
      </c>
      <c r="D233" s="9" t="s">
        <v>471</v>
      </c>
      <c r="E233" s="22">
        <v>45889</v>
      </c>
      <c r="F233" s="9">
        <v>2</v>
      </c>
      <c r="G233" s="10" t="s">
        <v>54</v>
      </c>
      <c r="H233" s="10" t="s">
        <v>74</v>
      </c>
      <c r="I233" s="9">
        <v>104</v>
      </c>
      <c r="J233" s="9" t="s">
        <v>334</v>
      </c>
      <c r="K233" s="38">
        <f t="shared" si="20"/>
        <v>104</v>
      </c>
      <c r="L233" s="38">
        <f t="shared" si="21"/>
        <v>19.756666666666668</v>
      </c>
      <c r="M233" s="38">
        <f t="shared" si="22"/>
        <v>84.243333333333339</v>
      </c>
      <c r="N233" s="38">
        <v>101.12</v>
      </c>
      <c r="O233" s="38">
        <f t="shared" si="23"/>
        <v>19.756666666666668</v>
      </c>
      <c r="P233" s="38">
        <f t="shared" si="24"/>
        <v>81.363333333333344</v>
      </c>
      <c r="Q233" s="38"/>
      <c r="R233" s="38">
        <v>372.09</v>
      </c>
      <c r="S233" s="38">
        <v>15.18</v>
      </c>
      <c r="T233" s="38">
        <f t="shared" si="25"/>
        <v>356.90999999999997</v>
      </c>
      <c r="U233" s="38">
        <v>281.64999999999998</v>
      </c>
      <c r="V233" s="38">
        <v>2.2599999999999998</v>
      </c>
      <c r="W233" s="38">
        <f t="shared" si="26"/>
        <v>264.20999999999998</v>
      </c>
      <c r="X233" s="38" t="s">
        <v>658</v>
      </c>
      <c r="Y233" s="9"/>
    </row>
    <row r="234" spans="1:25" hidden="1" x14ac:dyDescent="0.25">
      <c r="A234" s="5" t="s">
        <v>303</v>
      </c>
      <c r="B234" s="9" t="s">
        <v>29</v>
      </c>
      <c r="C234" s="9" t="s">
        <v>399</v>
      </c>
      <c r="D234" s="9" t="s">
        <v>471</v>
      </c>
      <c r="E234" s="22">
        <v>45889</v>
      </c>
      <c r="F234" s="9">
        <v>2</v>
      </c>
      <c r="G234" s="10" t="s">
        <v>55</v>
      </c>
      <c r="H234" s="10" t="s">
        <v>74</v>
      </c>
      <c r="I234" s="9">
        <v>150</v>
      </c>
      <c r="J234" s="9" t="s">
        <v>335</v>
      </c>
      <c r="K234" s="38">
        <f t="shared" si="20"/>
        <v>150</v>
      </c>
      <c r="L234" s="38">
        <f t="shared" si="21"/>
        <v>19.756666666666668</v>
      </c>
      <c r="M234" s="38">
        <f t="shared" si="22"/>
        <v>130.24333333333334</v>
      </c>
      <c r="N234" s="38">
        <v>146.47999999999999</v>
      </c>
      <c r="O234" s="38">
        <f t="shared" si="23"/>
        <v>19.756666666666668</v>
      </c>
      <c r="P234" s="38">
        <f t="shared" si="24"/>
        <v>126.72333333333333</v>
      </c>
      <c r="Q234" s="38"/>
      <c r="R234" s="38">
        <v>372.09</v>
      </c>
      <c r="S234" s="38">
        <v>15.18</v>
      </c>
      <c r="T234" s="38">
        <f t="shared" si="25"/>
        <v>356.90999999999997</v>
      </c>
      <c r="U234" s="38">
        <v>281.64999999999998</v>
      </c>
      <c r="V234" s="38">
        <v>2.2599999999999998</v>
      </c>
      <c r="W234" s="38">
        <f t="shared" si="26"/>
        <v>264.20999999999998</v>
      </c>
      <c r="X234" s="38" t="s">
        <v>658</v>
      </c>
      <c r="Y234" s="9"/>
    </row>
    <row r="235" spans="1:25" hidden="1" x14ac:dyDescent="0.25">
      <c r="A235" s="5" t="s">
        <v>303</v>
      </c>
      <c r="B235" s="9" t="s">
        <v>31</v>
      </c>
      <c r="C235" s="9" t="s">
        <v>394</v>
      </c>
      <c r="D235" s="9" t="s">
        <v>477</v>
      </c>
      <c r="E235" s="22">
        <v>45889</v>
      </c>
      <c r="F235" s="9">
        <v>2</v>
      </c>
      <c r="G235" s="10" t="s">
        <v>50</v>
      </c>
      <c r="H235" s="10" t="s">
        <v>116</v>
      </c>
      <c r="I235" s="9">
        <v>93</v>
      </c>
      <c r="J235" s="9" t="s">
        <v>364</v>
      </c>
      <c r="K235" s="38">
        <f t="shared" si="20"/>
        <v>93</v>
      </c>
      <c r="L235" s="38">
        <f t="shared" si="21"/>
        <v>19.756666666666668</v>
      </c>
      <c r="M235" s="38">
        <f t="shared" si="22"/>
        <v>73.243333333333339</v>
      </c>
      <c r="N235" s="38">
        <v>86.46</v>
      </c>
      <c r="O235" s="38">
        <f t="shared" si="23"/>
        <v>19.756666666666668</v>
      </c>
      <c r="P235" s="38">
        <f t="shared" si="24"/>
        <v>66.703333333333319</v>
      </c>
      <c r="Q235" s="38"/>
      <c r="R235" s="38">
        <v>346.32</v>
      </c>
      <c r="S235" s="38">
        <v>15.18</v>
      </c>
      <c r="T235" s="38">
        <f t="shared" si="25"/>
        <v>331.14</v>
      </c>
      <c r="U235" s="38">
        <v>276.24</v>
      </c>
      <c r="V235" s="38">
        <v>1.63</v>
      </c>
      <c r="W235" s="38">
        <f t="shared" si="26"/>
        <v>259.43</v>
      </c>
      <c r="X235" s="38" t="s">
        <v>658</v>
      </c>
      <c r="Y235" s="9"/>
    </row>
    <row r="236" spans="1:25" hidden="1" x14ac:dyDescent="0.25">
      <c r="A236" s="5" t="s">
        <v>303</v>
      </c>
      <c r="B236" s="9" t="s">
        <v>31</v>
      </c>
      <c r="C236" s="9" t="s">
        <v>395</v>
      </c>
      <c r="D236" s="9" t="s">
        <v>477</v>
      </c>
      <c r="E236" s="22">
        <v>45889</v>
      </c>
      <c r="F236" s="9">
        <v>2</v>
      </c>
      <c r="G236" s="10" t="s">
        <v>51</v>
      </c>
      <c r="H236" s="10" t="s">
        <v>116</v>
      </c>
      <c r="I236" s="9">
        <v>121</v>
      </c>
      <c r="J236" s="9" t="s">
        <v>364</v>
      </c>
      <c r="K236" s="38">
        <f t="shared" si="20"/>
        <v>121</v>
      </c>
      <c r="L236" s="38">
        <f t="shared" si="21"/>
        <v>19.756666666666668</v>
      </c>
      <c r="M236" s="38">
        <f t="shared" si="22"/>
        <v>101.24333333333334</v>
      </c>
      <c r="N236" s="38">
        <v>110.74</v>
      </c>
      <c r="O236" s="38">
        <f t="shared" si="23"/>
        <v>19.756666666666668</v>
      </c>
      <c r="P236" s="38">
        <f t="shared" si="24"/>
        <v>90.98333333333332</v>
      </c>
      <c r="Q236" s="38"/>
      <c r="R236" s="38">
        <v>346.32</v>
      </c>
      <c r="S236" s="38">
        <v>15.18</v>
      </c>
      <c r="T236" s="38">
        <f t="shared" si="25"/>
        <v>331.14</v>
      </c>
      <c r="U236" s="38">
        <v>276.24</v>
      </c>
      <c r="V236" s="38">
        <v>1.63</v>
      </c>
      <c r="W236" s="38">
        <f t="shared" si="26"/>
        <v>259.43</v>
      </c>
      <c r="X236" s="38" t="s">
        <v>658</v>
      </c>
      <c r="Y236" s="9"/>
    </row>
    <row r="237" spans="1:25" hidden="1" x14ac:dyDescent="0.25">
      <c r="A237" s="5" t="s">
        <v>303</v>
      </c>
      <c r="B237" s="9" t="s">
        <v>30</v>
      </c>
      <c r="C237" s="9" t="s">
        <v>394</v>
      </c>
      <c r="D237" s="9" t="s">
        <v>473</v>
      </c>
      <c r="E237" s="22">
        <v>45889</v>
      </c>
      <c r="F237" s="9">
        <v>2</v>
      </c>
      <c r="G237" s="10" t="s">
        <v>50</v>
      </c>
      <c r="H237" s="10" t="s">
        <v>116</v>
      </c>
      <c r="I237" s="9">
        <v>132</v>
      </c>
      <c r="J237" s="9" t="s">
        <v>345</v>
      </c>
      <c r="K237" s="38">
        <f t="shared" si="20"/>
        <v>132</v>
      </c>
      <c r="L237" s="38">
        <f t="shared" si="21"/>
        <v>19.756666666666668</v>
      </c>
      <c r="M237" s="38">
        <f t="shared" si="22"/>
        <v>112.24333333333334</v>
      </c>
      <c r="N237" s="38">
        <v>115.48</v>
      </c>
      <c r="O237" s="38">
        <f t="shared" si="23"/>
        <v>19.756666666666668</v>
      </c>
      <c r="P237" s="38">
        <f t="shared" si="24"/>
        <v>95.723333333333329</v>
      </c>
      <c r="Q237" s="38"/>
      <c r="R237" s="38">
        <v>379.5</v>
      </c>
      <c r="S237" s="38">
        <v>15.18</v>
      </c>
      <c r="T237" s="38">
        <f t="shared" si="25"/>
        <v>364.32</v>
      </c>
      <c r="U237" s="38">
        <v>274.79000000000002</v>
      </c>
      <c r="V237" s="38">
        <v>1.66</v>
      </c>
      <c r="W237" s="38">
        <f t="shared" si="26"/>
        <v>257.95</v>
      </c>
      <c r="X237" s="38" t="s">
        <v>658</v>
      </c>
      <c r="Y237" s="9"/>
    </row>
    <row r="238" spans="1:25" hidden="1" x14ac:dyDescent="0.25">
      <c r="A238" s="5" t="s">
        <v>303</v>
      </c>
      <c r="B238" s="9" t="s">
        <v>30</v>
      </c>
      <c r="C238" s="9" t="s">
        <v>395</v>
      </c>
      <c r="D238" s="9" t="s">
        <v>473</v>
      </c>
      <c r="E238" s="22">
        <v>45889</v>
      </c>
      <c r="F238" s="9">
        <v>2</v>
      </c>
      <c r="G238" s="10" t="s">
        <v>51</v>
      </c>
      <c r="H238" s="10" t="s">
        <v>116</v>
      </c>
      <c r="I238" s="9">
        <v>95</v>
      </c>
      <c r="J238" s="9" t="s">
        <v>346</v>
      </c>
      <c r="K238" s="38">
        <f t="shared" si="20"/>
        <v>95</v>
      </c>
      <c r="L238" s="38">
        <f t="shared" si="21"/>
        <v>19.756666666666668</v>
      </c>
      <c r="M238" s="38">
        <f t="shared" si="22"/>
        <v>75.243333333333339</v>
      </c>
      <c r="N238" s="38">
        <v>85.01</v>
      </c>
      <c r="O238" s="38">
        <f t="shared" si="23"/>
        <v>19.756666666666668</v>
      </c>
      <c r="P238" s="38">
        <f t="shared" si="24"/>
        <v>65.25333333333333</v>
      </c>
      <c r="Q238" s="38"/>
      <c r="R238" s="38">
        <v>379.5</v>
      </c>
      <c r="S238" s="38">
        <v>15.18</v>
      </c>
      <c r="T238" s="38">
        <f t="shared" si="25"/>
        <v>364.32</v>
      </c>
      <c r="U238" s="38">
        <v>274.79000000000002</v>
      </c>
      <c r="V238" s="38">
        <v>1.66</v>
      </c>
      <c r="W238" s="38">
        <f t="shared" si="26"/>
        <v>257.95</v>
      </c>
      <c r="X238" s="38" t="s">
        <v>658</v>
      </c>
      <c r="Y238" s="9"/>
    </row>
    <row r="239" spans="1:25" x14ac:dyDescent="0.25">
      <c r="A239" s="5" t="s">
        <v>303</v>
      </c>
      <c r="B239" s="9" t="s">
        <v>27</v>
      </c>
      <c r="C239" s="9" t="s">
        <v>400</v>
      </c>
      <c r="D239" s="9" t="s">
        <v>456</v>
      </c>
      <c r="E239" s="22">
        <v>45889</v>
      </c>
      <c r="F239" s="9">
        <v>2</v>
      </c>
      <c r="G239" s="10" t="s">
        <v>56</v>
      </c>
      <c r="H239" s="10" t="s">
        <v>85</v>
      </c>
      <c r="I239" s="9">
        <v>104</v>
      </c>
      <c r="J239" s="9" t="s">
        <v>308</v>
      </c>
      <c r="K239" s="38">
        <f t="shared" si="20"/>
        <v>104</v>
      </c>
      <c r="L239" s="38">
        <f t="shared" si="21"/>
        <v>19.756666666666668</v>
      </c>
      <c r="M239" s="38">
        <f t="shared" si="22"/>
        <v>84.243333333333339</v>
      </c>
      <c r="N239" s="38">
        <v>95.51</v>
      </c>
      <c r="O239" s="38">
        <f t="shared" si="23"/>
        <v>19.756666666666668</v>
      </c>
      <c r="P239" s="38">
        <f t="shared" si="24"/>
        <v>75.75333333333333</v>
      </c>
      <c r="Q239" s="38"/>
      <c r="R239" s="38">
        <v>302.51</v>
      </c>
      <c r="S239" s="38">
        <v>15.18</v>
      </c>
      <c r="T239" s="38">
        <f t="shared" si="25"/>
        <v>287.33</v>
      </c>
      <c r="U239" s="38">
        <v>267.57</v>
      </c>
      <c r="V239" s="38">
        <v>1.59</v>
      </c>
      <c r="W239" s="38">
        <f t="shared" si="26"/>
        <v>250.79999999999998</v>
      </c>
      <c r="X239" s="38" t="s">
        <v>658</v>
      </c>
      <c r="Y239" s="9"/>
    </row>
    <row r="240" spans="1:25" ht="30" x14ac:dyDescent="0.25">
      <c r="A240" s="5" t="s">
        <v>303</v>
      </c>
      <c r="B240" s="9" t="s">
        <v>27</v>
      </c>
      <c r="C240" s="9" t="s">
        <v>32</v>
      </c>
      <c r="D240" s="9" t="s">
        <v>456</v>
      </c>
      <c r="E240" s="22">
        <v>45889</v>
      </c>
      <c r="F240" s="9">
        <v>2</v>
      </c>
      <c r="G240" s="10" t="s">
        <v>57</v>
      </c>
      <c r="H240" s="10" t="s">
        <v>85</v>
      </c>
      <c r="I240" s="9">
        <v>89</v>
      </c>
      <c r="J240" s="9" t="s">
        <v>309</v>
      </c>
      <c r="K240" s="38">
        <f t="shared" si="20"/>
        <v>89</v>
      </c>
      <c r="L240" s="38">
        <f t="shared" si="21"/>
        <v>19.756666666666668</v>
      </c>
      <c r="M240" s="38">
        <f t="shared" si="22"/>
        <v>69.243333333333339</v>
      </c>
      <c r="N240" s="38">
        <v>83.1</v>
      </c>
      <c r="O240" s="38">
        <f t="shared" si="23"/>
        <v>19.756666666666668</v>
      </c>
      <c r="P240" s="38">
        <f t="shared" si="24"/>
        <v>63.343333333333327</v>
      </c>
      <c r="Q240" s="38"/>
      <c r="R240" s="38">
        <v>302.51</v>
      </c>
      <c r="S240" s="38">
        <v>15.18</v>
      </c>
      <c r="T240" s="38">
        <f t="shared" si="25"/>
        <v>287.33</v>
      </c>
      <c r="U240" s="38">
        <v>267.57</v>
      </c>
      <c r="V240" s="38">
        <v>1.59</v>
      </c>
      <c r="W240" s="38">
        <f t="shared" si="26"/>
        <v>250.79999999999998</v>
      </c>
      <c r="X240" s="38" t="s">
        <v>658</v>
      </c>
      <c r="Y240" s="9"/>
    </row>
    <row r="241" spans="1:25" hidden="1" x14ac:dyDescent="0.25">
      <c r="A241" s="5" t="s">
        <v>303</v>
      </c>
      <c r="B241" s="9" t="s">
        <v>28</v>
      </c>
      <c r="C241" s="9" t="s">
        <v>398</v>
      </c>
      <c r="D241" s="9" t="s">
        <v>467</v>
      </c>
      <c r="E241" s="22">
        <v>45889</v>
      </c>
      <c r="F241" s="9">
        <v>2</v>
      </c>
      <c r="G241" s="10" t="s">
        <v>54</v>
      </c>
      <c r="H241" s="10" t="s">
        <v>71</v>
      </c>
      <c r="I241" s="9">
        <v>132</v>
      </c>
      <c r="J241" s="9" t="s">
        <v>262</v>
      </c>
      <c r="K241" s="38">
        <f t="shared" si="20"/>
        <v>132</v>
      </c>
      <c r="L241" s="38">
        <f t="shared" si="21"/>
        <v>19.756666666666668</v>
      </c>
      <c r="M241" s="38">
        <f t="shared" si="22"/>
        <v>112.24333333333334</v>
      </c>
      <c r="N241" s="38">
        <v>128.16</v>
      </c>
      <c r="O241" s="38">
        <f t="shared" si="23"/>
        <v>19.756666666666668</v>
      </c>
      <c r="P241" s="38">
        <f t="shared" si="24"/>
        <v>108.40333333333334</v>
      </c>
      <c r="Q241" s="38"/>
      <c r="R241" s="38">
        <v>566.24</v>
      </c>
      <c r="S241" s="38">
        <v>15.18</v>
      </c>
      <c r="T241" s="38">
        <f t="shared" si="25"/>
        <v>551.06000000000006</v>
      </c>
      <c r="U241" s="38">
        <v>256.55</v>
      </c>
      <c r="V241" s="38">
        <v>1.6</v>
      </c>
      <c r="W241" s="38">
        <f t="shared" si="26"/>
        <v>239.77</v>
      </c>
      <c r="X241" s="38" t="s">
        <v>658</v>
      </c>
      <c r="Y241" s="9"/>
    </row>
    <row r="242" spans="1:25" hidden="1" x14ac:dyDescent="0.25">
      <c r="A242" s="5" t="s">
        <v>303</v>
      </c>
      <c r="B242" s="9" t="s">
        <v>28</v>
      </c>
      <c r="C242" s="9" t="s">
        <v>399</v>
      </c>
      <c r="D242" s="9" t="s">
        <v>467</v>
      </c>
      <c r="E242" s="22">
        <v>45889</v>
      </c>
      <c r="F242" s="9">
        <v>2</v>
      </c>
      <c r="G242" s="10" t="s">
        <v>55</v>
      </c>
      <c r="H242" s="10" t="s">
        <v>71</v>
      </c>
      <c r="I242" s="9">
        <v>140</v>
      </c>
      <c r="J242" s="9" t="s">
        <v>323</v>
      </c>
      <c r="K242" s="38">
        <f t="shared" si="20"/>
        <v>140</v>
      </c>
      <c r="L242" s="38">
        <f t="shared" si="21"/>
        <v>19.756666666666668</v>
      </c>
      <c r="M242" s="38">
        <f t="shared" si="22"/>
        <v>120.24333333333334</v>
      </c>
      <c r="N242" s="38">
        <v>136.53</v>
      </c>
      <c r="O242" s="38">
        <f t="shared" si="23"/>
        <v>19.756666666666668</v>
      </c>
      <c r="P242" s="38">
        <f t="shared" si="24"/>
        <v>116.77333333333334</v>
      </c>
      <c r="Q242" s="38"/>
      <c r="R242" s="38">
        <v>566.24</v>
      </c>
      <c r="S242" s="38">
        <v>15.18</v>
      </c>
      <c r="T242" s="38">
        <f t="shared" si="25"/>
        <v>551.06000000000006</v>
      </c>
      <c r="U242" s="38">
        <v>256.55</v>
      </c>
      <c r="V242" s="38">
        <v>1.6</v>
      </c>
      <c r="W242" s="38">
        <f t="shared" si="26"/>
        <v>239.77</v>
      </c>
      <c r="X242" s="38" t="s">
        <v>658</v>
      </c>
      <c r="Y242" s="9"/>
    </row>
    <row r="243" spans="1:25" ht="30" hidden="1" x14ac:dyDescent="0.25">
      <c r="A243" s="5" t="s">
        <v>303</v>
      </c>
      <c r="B243" s="9" t="s">
        <v>30</v>
      </c>
      <c r="C243" s="9" t="s">
        <v>396</v>
      </c>
      <c r="D243" s="9" t="s">
        <v>474</v>
      </c>
      <c r="E243" s="22">
        <v>45889</v>
      </c>
      <c r="F243" s="9">
        <v>2</v>
      </c>
      <c r="G243" s="10" t="s">
        <v>52</v>
      </c>
      <c r="H243" s="10" t="s">
        <v>116</v>
      </c>
      <c r="I243" s="9">
        <v>115</v>
      </c>
      <c r="J243" s="9" t="s">
        <v>347</v>
      </c>
      <c r="K243" s="38">
        <f t="shared" si="20"/>
        <v>115</v>
      </c>
      <c r="L243" s="38">
        <f t="shared" si="21"/>
        <v>19.756666666666668</v>
      </c>
      <c r="M243" s="38">
        <f t="shared" si="22"/>
        <v>95.243333333333339</v>
      </c>
      <c r="N243" s="38">
        <v>98.94</v>
      </c>
      <c r="O243" s="38">
        <f t="shared" si="23"/>
        <v>19.756666666666668</v>
      </c>
      <c r="P243" s="38">
        <f t="shared" si="24"/>
        <v>79.183333333333337</v>
      </c>
      <c r="Q243" s="38"/>
      <c r="R243" s="38">
        <v>326.45999999999998</v>
      </c>
      <c r="S243" s="38">
        <v>15.18</v>
      </c>
      <c r="T243" s="38">
        <f t="shared" si="25"/>
        <v>311.27999999999997</v>
      </c>
      <c r="U243" s="38">
        <v>254.96</v>
      </c>
      <c r="V243" s="38">
        <v>1.66</v>
      </c>
      <c r="W243" s="38">
        <f t="shared" si="26"/>
        <v>238.12</v>
      </c>
      <c r="X243" s="38" t="s">
        <v>658</v>
      </c>
      <c r="Y243" s="9"/>
    </row>
    <row r="244" spans="1:25" hidden="1" x14ac:dyDescent="0.25">
      <c r="A244" s="5" t="s">
        <v>303</v>
      </c>
      <c r="B244" s="9" t="s">
        <v>30</v>
      </c>
      <c r="C244" s="9" t="s">
        <v>397</v>
      </c>
      <c r="D244" s="9" t="s">
        <v>474</v>
      </c>
      <c r="E244" s="22">
        <v>45889</v>
      </c>
      <c r="F244" s="9">
        <v>2</v>
      </c>
      <c r="G244" s="10" t="s">
        <v>53</v>
      </c>
      <c r="H244" s="10" t="s">
        <v>116</v>
      </c>
      <c r="I244" s="9">
        <v>107</v>
      </c>
      <c r="J244" s="9" t="s">
        <v>348</v>
      </c>
      <c r="K244" s="38">
        <f t="shared" si="20"/>
        <v>107</v>
      </c>
      <c r="L244" s="38">
        <f t="shared" si="21"/>
        <v>19.756666666666668</v>
      </c>
      <c r="M244" s="38">
        <f t="shared" si="22"/>
        <v>87.243333333333339</v>
      </c>
      <c r="N244" s="38">
        <v>94.56</v>
      </c>
      <c r="O244" s="38">
        <f t="shared" si="23"/>
        <v>19.756666666666668</v>
      </c>
      <c r="P244" s="38">
        <f t="shared" si="24"/>
        <v>74.803333333333342</v>
      </c>
      <c r="Q244" s="38"/>
      <c r="R244" s="38">
        <v>326.45999999999998</v>
      </c>
      <c r="S244" s="38">
        <v>15.18</v>
      </c>
      <c r="T244" s="38">
        <f t="shared" si="25"/>
        <v>311.27999999999997</v>
      </c>
      <c r="U244" s="38">
        <v>254.96</v>
      </c>
      <c r="V244" s="38">
        <v>1.66</v>
      </c>
      <c r="W244" s="38">
        <f t="shared" si="26"/>
        <v>238.12</v>
      </c>
      <c r="X244" s="38" t="s">
        <v>658</v>
      </c>
      <c r="Y244" s="9"/>
    </row>
    <row r="245" spans="1:25" hidden="1" x14ac:dyDescent="0.25">
      <c r="A245" s="5" t="s">
        <v>303</v>
      </c>
      <c r="B245" s="9" t="s">
        <v>28</v>
      </c>
      <c r="C245" s="9" t="s">
        <v>394</v>
      </c>
      <c r="D245" s="9" t="s">
        <v>465</v>
      </c>
      <c r="E245" s="22">
        <v>45889</v>
      </c>
      <c r="F245" s="9">
        <v>2</v>
      </c>
      <c r="G245" s="10" t="s">
        <v>50</v>
      </c>
      <c r="H245" s="10" t="s">
        <v>71</v>
      </c>
      <c r="I245" s="9">
        <v>99</v>
      </c>
      <c r="J245" s="9" t="s">
        <v>321</v>
      </c>
      <c r="K245" s="38">
        <f t="shared" ref="K245:K264" si="27">I245</f>
        <v>99</v>
      </c>
      <c r="L245" s="38">
        <f t="shared" ref="L245:L264" si="28">AVERAGE(19.9,19.77,19.6)</f>
        <v>19.756666666666668</v>
      </c>
      <c r="M245" s="38">
        <f t="shared" ref="M245:M264" si="29">K245-L245</f>
        <v>79.243333333333339</v>
      </c>
      <c r="N245" s="38">
        <v>93.48</v>
      </c>
      <c r="O245" s="38">
        <f t="shared" ref="O245:O269" si="30">AVERAGE(19.9,19.77,19.6)</f>
        <v>19.756666666666668</v>
      </c>
      <c r="P245" s="38">
        <f t="shared" ref="P245:P269" si="31">N245-O245</f>
        <v>73.723333333333329</v>
      </c>
      <c r="Q245" s="38"/>
      <c r="R245" s="38">
        <v>342.29</v>
      </c>
      <c r="S245" s="38">
        <v>15.18</v>
      </c>
      <c r="T245" s="38">
        <f t="shared" ref="T245:T269" si="32">R245-S245</f>
        <v>327.11</v>
      </c>
      <c r="U245" s="38">
        <v>244.39</v>
      </c>
      <c r="V245" s="38">
        <v>1.6</v>
      </c>
      <c r="W245" s="38">
        <f t="shared" si="26"/>
        <v>227.60999999999999</v>
      </c>
      <c r="X245" s="38" t="s">
        <v>658</v>
      </c>
      <c r="Y245" s="9"/>
    </row>
    <row r="246" spans="1:25" hidden="1" x14ac:dyDescent="0.25">
      <c r="A246" s="5" t="s">
        <v>303</v>
      </c>
      <c r="B246" s="9" t="s">
        <v>28</v>
      </c>
      <c r="C246" s="9" t="s">
        <v>395</v>
      </c>
      <c r="D246" s="9" t="s">
        <v>465</v>
      </c>
      <c r="E246" s="22">
        <v>45889</v>
      </c>
      <c r="F246" s="9">
        <v>2</v>
      </c>
      <c r="G246" s="10" t="s">
        <v>51</v>
      </c>
      <c r="H246" s="10" t="s">
        <v>74</v>
      </c>
      <c r="I246" s="9">
        <v>116</v>
      </c>
      <c r="J246" s="9" t="s">
        <v>322</v>
      </c>
      <c r="K246" s="38">
        <f t="shared" si="27"/>
        <v>116</v>
      </c>
      <c r="L246" s="38">
        <f t="shared" si="28"/>
        <v>19.756666666666668</v>
      </c>
      <c r="M246" s="38">
        <f t="shared" si="29"/>
        <v>96.243333333333339</v>
      </c>
      <c r="N246" s="38">
        <v>111.9</v>
      </c>
      <c r="O246" s="38">
        <f t="shared" si="30"/>
        <v>19.756666666666668</v>
      </c>
      <c r="P246" s="38">
        <f t="shared" si="31"/>
        <v>92.143333333333345</v>
      </c>
      <c r="Q246" s="38"/>
      <c r="R246" s="38">
        <v>342.29</v>
      </c>
      <c r="S246" s="38">
        <v>15.18</v>
      </c>
      <c r="T246" s="38">
        <f t="shared" si="32"/>
        <v>327.11</v>
      </c>
      <c r="U246" s="38">
        <v>244.39</v>
      </c>
      <c r="V246" s="38">
        <v>1.6</v>
      </c>
      <c r="W246" s="38">
        <f t="shared" si="26"/>
        <v>227.60999999999999</v>
      </c>
      <c r="X246" s="38" t="s">
        <v>658</v>
      </c>
      <c r="Y246" s="9"/>
    </row>
    <row r="247" spans="1:25" hidden="1" x14ac:dyDescent="0.25">
      <c r="A247" s="5" t="s">
        <v>303</v>
      </c>
      <c r="B247" s="9" t="s">
        <v>31</v>
      </c>
      <c r="C247" s="9" t="s">
        <v>398</v>
      </c>
      <c r="D247" s="9" t="s">
        <v>479</v>
      </c>
      <c r="E247" s="22">
        <v>45889</v>
      </c>
      <c r="F247" s="9">
        <v>2</v>
      </c>
      <c r="G247" s="10" t="s">
        <v>54</v>
      </c>
      <c r="H247" s="10" t="s">
        <v>116</v>
      </c>
      <c r="I247" s="9">
        <v>122</v>
      </c>
      <c r="J247" s="9" t="s">
        <v>364</v>
      </c>
      <c r="K247" s="38">
        <f t="shared" si="27"/>
        <v>122</v>
      </c>
      <c r="L247" s="38">
        <f t="shared" si="28"/>
        <v>19.756666666666668</v>
      </c>
      <c r="M247" s="38">
        <f t="shared" si="29"/>
        <v>102.24333333333334</v>
      </c>
      <c r="N247" s="38">
        <v>104.19</v>
      </c>
      <c r="O247" s="38">
        <f t="shared" si="30"/>
        <v>19.756666666666668</v>
      </c>
      <c r="P247" s="38">
        <f t="shared" si="31"/>
        <v>84.433333333333337</v>
      </c>
      <c r="Q247" s="38"/>
      <c r="R247" s="38">
        <v>337.7</v>
      </c>
      <c r="S247" s="38">
        <v>15.18</v>
      </c>
      <c r="T247" s="38">
        <f t="shared" si="32"/>
        <v>322.52</v>
      </c>
      <c r="U247" s="38">
        <v>239.81</v>
      </c>
      <c r="V247" s="38">
        <v>1.7</v>
      </c>
      <c r="W247" s="38">
        <f t="shared" ref="W247:W269" si="33">U247-S247-V247</f>
        <v>222.93</v>
      </c>
      <c r="X247" s="38" t="s">
        <v>658</v>
      </c>
      <c r="Y247" s="9"/>
    </row>
    <row r="248" spans="1:25" hidden="1" x14ac:dyDescent="0.25">
      <c r="A248" s="5" t="s">
        <v>303</v>
      </c>
      <c r="B248" s="9" t="s">
        <v>31</v>
      </c>
      <c r="C248" s="9" t="s">
        <v>399</v>
      </c>
      <c r="D248" s="9" t="s">
        <v>479</v>
      </c>
      <c r="E248" s="22">
        <v>45889</v>
      </c>
      <c r="F248" s="9">
        <v>2</v>
      </c>
      <c r="G248" s="10" t="s">
        <v>55</v>
      </c>
      <c r="H248" s="10" t="s">
        <v>116</v>
      </c>
      <c r="I248" s="9">
        <v>117</v>
      </c>
      <c r="J248" s="9" t="s">
        <v>364</v>
      </c>
      <c r="K248" s="38">
        <f t="shared" si="27"/>
        <v>117</v>
      </c>
      <c r="L248" s="38">
        <f t="shared" si="28"/>
        <v>19.756666666666668</v>
      </c>
      <c r="M248" s="38">
        <f t="shared" si="29"/>
        <v>97.243333333333339</v>
      </c>
      <c r="N248" s="38">
        <v>102.03</v>
      </c>
      <c r="O248" s="38">
        <f t="shared" si="30"/>
        <v>19.756666666666668</v>
      </c>
      <c r="P248" s="38">
        <f t="shared" si="31"/>
        <v>82.273333333333341</v>
      </c>
      <c r="Q248" s="38"/>
      <c r="R248" s="38">
        <v>337.7</v>
      </c>
      <c r="S248" s="38">
        <v>15.18</v>
      </c>
      <c r="T248" s="38">
        <f t="shared" si="32"/>
        <v>322.52</v>
      </c>
      <c r="U248" s="38">
        <v>239.81</v>
      </c>
      <c r="V248" s="38">
        <v>1.7</v>
      </c>
      <c r="W248" s="38">
        <f t="shared" si="33"/>
        <v>222.93</v>
      </c>
      <c r="X248" s="38" t="s">
        <v>658</v>
      </c>
      <c r="Y248" s="9"/>
    </row>
    <row r="249" spans="1:25" hidden="1" x14ac:dyDescent="0.25">
      <c r="A249" s="5" t="s">
        <v>303</v>
      </c>
      <c r="B249" s="9" t="s">
        <v>28</v>
      </c>
      <c r="C249" s="9" t="s">
        <v>392</v>
      </c>
      <c r="D249" s="9" t="s">
        <v>461</v>
      </c>
      <c r="E249" s="22">
        <v>45889</v>
      </c>
      <c r="F249" s="9">
        <v>2</v>
      </c>
      <c r="G249" s="10" t="s">
        <v>48</v>
      </c>
      <c r="H249" s="10" t="s">
        <v>71</v>
      </c>
      <c r="I249" s="9">
        <v>147</v>
      </c>
      <c r="J249" s="9" t="s">
        <v>320</v>
      </c>
      <c r="K249" s="38">
        <f t="shared" si="27"/>
        <v>147</v>
      </c>
      <c r="L249" s="38">
        <f t="shared" si="28"/>
        <v>19.756666666666668</v>
      </c>
      <c r="M249" s="38">
        <f t="shared" si="29"/>
        <v>127.24333333333334</v>
      </c>
      <c r="N249" s="38">
        <v>144.59</v>
      </c>
      <c r="O249" s="38">
        <f t="shared" si="30"/>
        <v>19.756666666666668</v>
      </c>
      <c r="P249" s="38">
        <f t="shared" si="31"/>
        <v>124.83333333333334</v>
      </c>
      <c r="Q249" s="38"/>
      <c r="R249" s="38">
        <v>358.32</v>
      </c>
      <c r="S249" s="38">
        <v>15.18</v>
      </c>
      <c r="T249" s="38">
        <f t="shared" si="32"/>
        <v>343.14</v>
      </c>
      <c r="U249" s="38">
        <v>216.95</v>
      </c>
      <c r="V249" s="38">
        <v>1.62</v>
      </c>
      <c r="W249" s="38">
        <f t="shared" si="33"/>
        <v>200.14999999999998</v>
      </c>
      <c r="X249" s="38" t="s">
        <v>658</v>
      </c>
      <c r="Y249" s="9"/>
    </row>
    <row r="250" spans="1:25" hidden="1" x14ac:dyDescent="0.25">
      <c r="A250" s="5" t="s">
        <v>303</v>
      </c>
      <c r="B250" s="9" t="s">
        <v>28</v>
      </c>
      <c r="C250" s="9" t="s">
        <v>393</v>
      </c>
      <c r="D250" s="9" t="s">
        <v>461</v>
      </c>
      <c r="E250" s="22">
        <v>45889</v>
      </c>
      <c r="F250" s="9">
        <v>2</v>
      </c>
      <c r="G250" s="10" t="s">
        <v>49</v>
      </c>
      <c r="H250" s="10" t="s">
        <v>71</v>
      </c>
      <c r="I250" s="9">
        <v>111</v>
      </c>
      <c r="J250" s="9" t="s">
        <v>321</v>
      </c>
      <c r="K250" s="38">
        <f t="shared" si="27"/>
        <v>111</v>
      </c>
      <c r="L250" s="38">
        <f t="shared" si="28"/>
        <v>19.756666666666668</v>
      </c>
      <c r="M250" s="38">
        <f t="shared" si="29"/>
        <v>91.243333333333339</v>
      </c>
      <c r="N250" s="38">
        <v>108.09</v>
      </c>
      <c r="O250" s="38">
        <f t="shared" si="30"/>
        <v>19.756666666666668</v>
      </c>
      <c r="P250" s="38">
        <f t="shared" si="31"/>
        <v>88.333333333333343</v>
      </c>
      <c r="Q250" s="38"/>
      <c r="R250" s="38">
        <v>358.32</v>
      </c>
      <c r="S250" s="38">
        <v>15.18</v>
      </c>
      <c r="T250" s="38">
        <f t="shared" si="32"/>
        <v>343.14</v>
      </c>
      <c r="U250" s="38">
        <v>216.95</v>
      </c>
      <c r="V250" s="38">
        <v>1.62</v>
      </c>
      <c r="W250" s="38">
        <f t="shared" si="33"/>
        <v>200.14999999999998</v>
      </c>
      <c r="X250" s="38" t="s">
        <v>658</v>
      </c>
      <c r="Y250" s="9"/>
    </row>
    <row r="251" spans="1:25" hidden="1" x14ac:dyDescent="0.25">
      <c r="A251" s="5" t="s">
        <v>303</v>
      </c>
      <c r="B251" s="9" t="s">
        <v>29</v>
      </c>
      <c r="C251" s="9" t="s">
        <v>396</v>
      </c>
      <c r="D251" s="9" t="s">
        <v>470</v>
      </c>
      <c r="E251" s="22">
        <v>45889</v>
      </c>
      <c r="F251" s="9">
        <v>2</v>
      </c>
      <c r="G251" s="10" t="s">
        <v>52</v>
      </c>
      <c r="H251" s="10" t="s">
        <v>74</v>
      </c>
      <c r="I251" s="9">
        <v>87</v>
      </c>
      <c r="J251" s="9" t="s">
        <v>333</v>
      </c>
      <c r="K251" s="38">
        <f t="shared" si="27"/>
        <v>87</v>
      </c>
      <c r="L251" s="38">
        <f t="shared" si="28"/>
        <v>19.756666666666668</v>
      </c>
      <c r="M251" s="38">
        <f t="shared" si="29"/>
        <v>67.243333333333339</v>
      </c>
      <c r="N251" s="38">
        <v>84.2</v>
      </c>
      <c r="O251" s="38">
        <f t="shared" si="30"/>
        <v>19.756666666666668</v>
      </c>
      <c r="P251" s="38">
        <f t="shared" si="31"/>
        <v>64.443333333333328</v>
      </c>
      <c r="Q251" s="38"/>
      <c r="R251" s="38">
        <v>306.89999999999998</v>
      </c>
      <c r="S251" s="38">
        <v>15.18</v>
      </c>
      <c r="T251" s="38">
        <f t="shared" si="32"/>
        <v>291.71999999999997</v>
      </c>
      <c r="U251" s="38">
        <v>209.17</v>
      </c>
      <c r="V251" s="38">
        <v>1.84</v>
      </c>
      <c r="W251" s="38">
        <f t="shared" si="33"/>
        <v>192.14999999999998</v>
      </c>
      <c r="X251" s="38" t="s">
        <v>658</v>
      </c>
      <c r="Y251" s="9"/>
    </row>
    <row r="252" spans="1:25" hidden="1" x14ac:dyDescent="0.25">
      <c r="A252" s="5" t="s">
        <v>303</v>
      </c>
      <c r="B252" s="9" t="s">
        <v>29</v>
      </c>
      <c r="C252" s="9" t="s">
        <v>397</v>
      </c>
      <c r="D252" s="9" t="s">
        <v>470</v>
      </c>
      <c r="E252" s="22">
        <v>45889</v>
      </c>
      <c r="F252" s="9">
        <v>2</v>
      </c>
      <c r="G252" s="10" t="s">
        <v>53</v>
      </c>
      <c r="H252" s="10" t="s">
        <v>74</v>
      </c>
      <c r="I252" s="9">
        <v>112</v>
      </c>
      <c r="J252" s="9" t="s">
        <v>333</v>
      </c>
      <c r="K252" s="38">
        <f t="shared" si="27"/>
        <v>112</v>
      </c>
      <c r="L252" s="38">
        <f t="shared" si="28"/>
        <v>19.756666666666668</v>
      </c>
      <c r="M252" s="38">
        <f t="shared" si="29"/>
        <v>92.243333333333339</v>
      </c>
      <c r="N252" s="38">
        <v>106.74</v>
      </c>
      <c r="O252" s="38">
        <f t="shared" si="30"/>
        <v>19.756666666666668</v>
      </c>
      <c r="P252" s="38">
        <f t="shared" si="31"/>
        <v>86.98333333333332</v>
      </c>
      <c r="Q252" s="38"/>
      <c r="R252" s="38">
        <v>306.89999999999998</v>
      </c>
      <c r="S252" s="38">
        <v>15.18</v>
      </c>
      <c r="T252" s="38">
        <f t="shared" si="32"/>
        <v>291.71999999999997</v>
      </c>
      <c r="U252" s="38">
        <v>209.17</v>
      </c>
      <c r="V252" s="38">
        <v>1.84</v>
      </c>
      <c r="W252" s="38">
        <f t="shared" si="33"/>
        <v>192.14999999999998</v>
      </c>
      <c r="X252" s="38" t="s">
        <v>658</v>
      </c>
      <c r="Y252" s="9"/>
    </row>
    <row r="253" spans="1:25" hidden="1" x14ac:dyDescent="0.25">
      <c r="A253" s="5" t="s">
        <v>303</v>
      </c>
      <c r="B253" s="9" t="s">
        <v>30</v>
      </c>
      <c r="C253" s="9" t="s">
        <v>400</v>
      </c>
      <c r="D253" s="9" t="s">
        <v>476</v>
      </c>
      <c r="E253" s="22">
        <v>45889</v>
      </c>
      <c r="F253" s="9">
        <v>2</v>
      </c>
      <c r="G253" s="10" t="s">
        <v>56</v>
      </c>
      <c r="H253" s="10" t="s">
        <v>85</v>
      </c>
      <c r="I253" s="9">
        <v>103</v>
      </c>
      <c r="J253" s="9" t="s">
        <v>351</v>
      </c>
      <c r="K253" s="38">
        <f t="shared" si="27"/>
        <v>103</v>
      </c>
      <c r="L253" s="38">
        <f t="shared" si="28"/>
        <v>19.756666666666668</v>
      </c>
      <c r="M253" s="38">
        <f t="shared" si="29"/>
        <v>83.243333333333339</v>
      </c>
      <c r="N253" s="38">
        <v>97.41</v>
      </c>
      <c r="O253" s="38">
        <f t="shared" si="30"/>
        <v>19.756666666666668</v>
      </c>
      <c r="P253" s="38">
        <f t="shared" si="31"/>
        <v>77.653333333333336</v>
      </c>
      <c r="Q253" s="38"/>
      <c r="R253" s="38">
        <v>350.36</v>
      </c>
      <c r="S253" s="38">
        <v>15.18</v>
      </c>
      <c r="T253" s="38">
        <f t="shared" si="32"/>
        <v>335.18</v>
      </c>
      <c r="U253" s="38">
        <v>201.09</v>
      </c>
      <c r="V253" s="38">
        <v>1.67</v>
      </c>
      <c r="W253" s="38">
        <f t="shared" si="33"/>
        <v>184.24</v>
      </c>
      <c r="X253" s="38" t="s">
        <v>658</v>
      </c>
      <c r="Y253" s="9"/>
    </row>
    <row r="254" spans="1:25" ht="30" hidden="1" x14ac:dyDescent="0.25">
      <c r="A254" s="5" t="s">
        <v>303</v>
      </c>
      <c r="B254" s="9" t="s">
        <v>30</v>
      </c>
      <c r="C254" s="9" t="s">
        <v>32</v>
      </c>
      <c r="D254" s="9" t="s">
        <v>476</v>
      </c>
      <c r="E254" s="22">
        <v>45889</v>
      </c>
      <c r="F254" s="9">
        <v>2</v>
      </c>
      <c r="G254" s="10" t="s">
        <v>57</v>
      </c>
      <c r="H254" s="10" t="s">
        <v>85</v>
      </c>
      <c r="I254" s="9">
        <v>116</v>
      </c>
      <c r="J254" s="9" t="s">
        <v>352</v>
      </c>
      <c r="K254" s="38">
        <f t="shared" si="27"/>
        <v>116</v>
      </c>
      <c r="L254" s="38">
        <f t="shared" si="28"/>
        <v>19.756666666666668</v>
      </c>
      <c r="M254" s="38">
        <f t="shared" si="29"/>
        <v>96.243333333333339</v>
      </c>
      <c r="N254" s="38">
        <v>108.74</v>
      </c>
      <c r="O254" s="38">
        <f t="shared" si="30"/>
        <v>19.756666666666668</v>
      </c>
      <c r="P254" s="38">
        <f t="shared" si="31"/>
        <v>88.98333333333332</v>
      </c>
      <c r="Q254" s="38"/>
      <c r="R254" s="38">
        <v>350.36</v>
      </c>
      <c r="S254" s="38">
        <v>15.18</v>
      </c>
      <c r="T254" s="38">
        <f t="shared" si="32"/>
        <v>335.18</v>
      </c>
      <c r="U254" s="38">
        <v>201.09</v>
      </c>
      <c r="V254" s="38">
        <v>1.67</v>
      </c>
      <c r="W254" s="38">
        <f t="shared" si="33"/>
        <v>184.24</v>
      </c>
      <c r="X254" s="38" t="s">
        <v>658</v>
      </c>
      <c r="Y254" s="9"/>
    </row>
    <row r="255" spans="1:25" hidden="1" x14ac:dyDescent="0.25">
      <c r="A255" s="5" t="s">
        <v>303</v>
      </c>
      <c r="B255" s="9" t="s">
        <v>31</v>
      </c>
      <c r="C255" s="9" t="s">
        <v>400</v>
      </c>
      <c r="D255" s="9" t="s">
        <v>480</v>
      </c>
      <c r="E255" s="22">
        <v>45889</v>
      </c>
      <c r="F255" s="9">
        <v>2</v>
      </c>
      <c r="G255" s="10" t="s">
        <v>56</v>
      </c>
      <c r="H255" s="10" t="s">
        <v>116</v>
      </c>
      <c r="I255" s="9">
        <v>133</v>
      </c>
      <c r="J255" s="9" t="s">
        <v>364</v>
      </c>
      <c r="K255" s="38">
        <f t="shared" si="27"/>
        <v>133</v>
      </c>
      <c r="L255" s="38">
        <f t="shared" si="28"/>
        <v>19.756666666666668</v>
      </c>
      <c r="M255" s="38">
        <f t="shared" si="29"/>
        <v>113.24333333333334</v>
      </c>
      <c r="N255" s="38">
        <v>114.14</v>
      </c>
      <c r="O255" s="38">
        <f t="shared" si="30"/>
        <v>19.756666666666668</v>
      </c>
      <c r="P255" s="38">
        <f t="shared" si="31"/>
        <v>94.383333333333326</v>
      </c>
      <c r="Q255" s="38"/>
      <c r="R255" s="38">
        <v>251.65</v>
      </c>
      <c r="S255" s="38">
        <v>15.18</v>
      </c>
      <c r="T255" s="38">
        <f t="shared" si="32"/>
        <v>236.47</v>
      </c>
      <c r="U255" s="38">
        <v>195.25</v>
      </c>
      <c r="V255" s="38">
        <v>1.77</v>
      </c>
      <c r="W255" s="38">
        <f t="shared" si="33"/>
        <v>178.29999999999998</v>
      </c>
      <c r="X255" s="38" t="s">
        <v>658</v>
      </c>
      <c r="Y255" s="9"/>
    </row>
    <row r="256" spans="1:25" ht="30" hidden="1" x14ac:dyDescent="0.25">
      <c r="A256" s="5" t="s">
        <v>303</v>
      </c>
      <c r="B256" s="9" t="s">
        <v>31</v>
      </c>
      <c r="C256" s="9" t="s">
        <v>32</v>
      </c>
      <c r="D256" s="9" t="s">
        <v>480</v>
      </c>
      <c r="E256" s="22">
        <v>45889</v>
      </c>
      <c r="F256" s="9">
        <v>2</v>
      </c>
      <c r="G256" s="10" t="s">
        <v>57</v>
      </c>
      <c r="H256" s="10" t="s">
        <v>116</v>
      </c>
      <c r="I256" s="9">
        <v>123</v>
      </c>
      <c r="J256" s="9" t="s">
        <v>365</v>
      </c>
      <c r="K256" s="38">
        <f t="shared" si="27"/>
        <v>123</v>
      </c>
      <c r="L256" s="38">
        <f t="shared" si="28"/>
        <v>19.756666666666668</v>
      </c>
      <c r="M256" s="38">
        <f t="shared" si="29"/>
        <v>103.24333333333334</v>
      </c>
      <c r="N256" s="38">
        <v>104.91</v>
      </c>
      <c r="O256" s="38">
        <f t="shared" si="30"/>
        <v>19.756666666666668</v>
      </c>
      <c r="P256" s="38">
        <f t="shared" si="31"/>
        <v>85.153333333333336</v>
      </c>
      <c r="Q256" s="38"/>
      <c r="R256" s="38">
        <v>251.65</v>
      </c>
      <c r="S256" s="38">
        <v>15.18</v>
      </c>
      <c r="T256" s="38">
        <f t="shared" si="32"/>
        <v>236.47</v>
      </c>
      <c r="U256" s="38">
        <v>195.25</v>
      </c>
      <c r="V256" s="38">
        <v>1.77</v>
      </c>
      <c r="W256" s="38">
        <f t="shared" si="33"/>
        <v>178.29999999999998</v>
      </c>
      <c r="X256" s="38" t="s">
        <v>658</v>
      </c>
      <c r="Y256" s="9"/>
    </row>
    <row r="257" spans="1:25" hidden="1" x14ac:dyDescent="0.25">
      <c r="A257" s="5" t="s">
        <v>303</v>
      </c>
      <c r="B257" s="9" t="s">
        <v>29</v>
      </c>
      <c r="C257" s="9" t="s">
        <v>394</v>
      </c>
      <c r="D257" s="9" t="s">
        <v>469</v>
      </c>
      <c r="E257" s="22">
        <v>45889</v>
      </c>
      <c r="F257" s="9">
        <v>2</v>
      </c>
      <c r="G257" s="10" t="s">
        <v>50</v>
      </c>
      <c r="H257" s="10" t="s">
        <v>71</v>
      </c>
      <c r="I257" s="9">
        <v>54</v>
      </c>
      <c r="J257" s="9" t="s">
        <v>333</v>
      </c>
      <c r="K257" s="38">
        <f t="shared" si="27"/>
        <v>54</v>
      </c>
      <c r="L257" s="38">
        <f t="shared" si="28"/>
        <v>19.756666666666668</v>
      </c>
      <c r="M257" s="38">
        <f t="shared" si="29"/>
        <v>34.243333333333332</v>
      </c>
      <c r="N257" s="38">
        <v>52.43</v>
      </c>
      <c r="O257" s="38">
        <f t="shared" si="30"/>
        <v>19.756666666666668</v>
      </c>
      <c r="P257" s="38">
        <f t="shared" si="31"/>
        <v>32.673333333333332</v>
      </c>
      <c r="Q257" s="38"/>
      <c r="R257" s="38">
        <v>256.8</v>
      </c>
      <c r="S257" s="38">
        <v>15.18</v>
      </c>
      <c r="T257" s="38">
        <f t="shared" si="32"/>
        <v>241.62</v>
      </c>
      <c r="U257" s="38">
        <v>189.51</v>
      </c>
      <c r="V257" s="38">
        <v>2.11</v>
      </c>
      <c r="W257" s="38">
        <f t="shared" si="33"/>
        <v>172.21999999999997</v>
      </c>
      <c r="X257" s="38" t="s">
        <v>658</v>
      </c>
      <c r="Y257" s="9"/>
    </row>
    <row r="258" spans="1:25" hidden="1" x14ac:dyDescent="0.25">
      <c r="A258" s="5" t="s">
        <v>303</v>
      </c>
      <c r="B258" s="9" t="s">
        <v>29</v>
      </c>
      <c r="C258" s="9" t="s">
        <v>395</v>
      </c>
      <c r="D258" s="9" t="s">
        <v>469</v>
      </c>
      <c r="E258" s="22">
        <v>45889</v>
      </c>
      <c r="F258" s="9">
        <v>2</v>
      </c>
      <c r="G258" s="10" t="s">
        <v>51</v>
      </c>
      <c r="H258" s="10" t="s">
        <v>71</v>
      </c>
      <c r="I258" s="9">
        <v>79</v>
      </c>
      <c r="J258" s="9" t="s">
        <v>333</v>
      </c>
      <c r="K258" s="38">
        <f t="shared" si="27"/>
        <v>79</v>
      </c>
      <c r="L258" s="38">
        <f t="shared" si="28"/>
        <v>19.756666666666668</v>
      </c>
      <c r="M258" s="38">
        <f t="shared" si="29"/>
        <v>59.243333333333332</v>
      </c>
      <c r="N258" s="38">
        <v>76.81</v>
      </c>
      <c r="O258" s="38">
        <f t="shared" si="30"/>
        <v>19.756666666666668</v>
      </c>
      <c r="P258" s="38">
        <f t="shared" si="31"/>
        <v>57.053333333333335</v>
      </c>
      <c r="Q258" s="38"/>
      <c r="R258" s="38">
        <v>256.8</v>
      </c>
      <c r="S258" s="38">
        <v>15.18</v>
      </c>
      <c r="T258" s="38">
        <f t="shared" si="32"/>
        <v>241.62</v>
      </c>
      <c r="U258" s="38">
        <v>189.51</v>
      </c>
      <c r="V258" s="38">
        <v>2.11</v>
      </c>
      <c r="W258" s="38">
        <f t="shared" si="33"/>
        <v>172.21999999999997</v>
      </c>
      <c r="X258" s="38" t="s">
        <v>658</v>
      </c>
      <c r="Y258" s="9"/>
    </row>
    <row r="259" spans="1:25" ht="30" hidden="1" x14ac:dyDescent="0.25">
      <c r="A259" s="5" t="s">
        <v>303</v>
      </c>
      <c r="B259" s="9" t="s">
        <v>30</v>
      </c>
      <c r="C259" s="9" t="s">
        <v>398</v>
      </c>
      <c r="D259" s="9" t="s">
        <v>475</v>
      </c>
      <c r="E259" s="22">
        <v>45889</v>
      </c>
      <c r="F259" s="9">
        <v>2</v>
      </c>
      <c r="G259" s="10" t="s">
        <v>54</v>
      </c>
      <c r="H259" s="10" t="s">
        <v>116</v>
      </c>
      <c r="I259" s="9">
        <v>118</v>
      </c>
      <c r="J259" s="9" t="s">
        <v>349</v>
      </c>
      <c r="K259" s="38">
        <f t="shared" si="27"/>
        <v>118</v>
      </c>
      <c r="L259" s="38">
        <f t="shared" si="28"/>
        <v>19.756666666666668</v>
      </c>
      <c r="M259" s="38">
        <f t="shared" si="29"/>
        <v>98.243333333333339</v>
      </c>
      <c r="N259" s="38">
        <v>108.16</v>
      </c>
      <c r="O259" s="38">
        <f t="shared" si="30"/>
        <v>19.756666666666668</v>
      </c>
      <c r="P259" s="38">
        <f t="shared" si="31"/>
        <v>88.403333333333336</v>
      </c>
      <c r="Q259" s="38"/>
      <c r="R259" s="38">
        <v>256.20999999999998</v>
      </c>
      <c r="S259" s="38">
        <v>15.18</v>
      </c>
      <c r="T259" s="38">
        <f t="shared" si="32"/>
        <v>241.02999999999997</v>
      </c>
      <c r="U259" s="38">
        <v>170.44</v>
      </c>
      <c r="V259" s="38">
        <v>2.54</v>
      </c>
      <c r="W259" s="38">
        <f t="shared" si="33"/>
        <v>152.72</v>
      </c>
      <c r="X259" s="38" t="s">
        <v>658</v>
      </c>
      <c r="Y259" s="9"/>
    </row>
    <row r="260" spans="1:25" hidden="1" x14ac:dyDescent="0.25">
      <c r="A260" s="5" t="s">
        <v>303</v>
      </c>
      <c r="B260" s="9" t="s">
        <v>30</v>
      </c>
      <c r="C260" s="9" t="s">
        <v>399</v>
      </c>
      <c r="D260" s="9" t="s">
        <v>475</v>
      </c>
      <c r="E260" s="22">
        <v>45889</v>
      </c>
      <c r="F260" s="9">
        <v>2</v>
      </c>
      <c r="G260" s="10" t="s">
        <v>55</v>
      </c>
      <c r="H260" s="10" t="s">
        <v>85</v>
      </c>
      <c r="I260" s="9">
        <v>83</v>
      </c>
      <c r="J260" s="9" t="s">
        <v>350</v>
      </c>
      <c r="K260" s="38">
        <f t="shared" si="27"/>
        <v>83</v>
      </c>
      <c r="L260" s="38">
        <f t="shared" si="28"/>
        <v>19.756666666666668</v>
      </c>
      <c r="M260" s="38">
        <f t="shared" si="29"/>
        <v>63.243333333333332</v>
      </c>
      <c r="N260" s="38">
        <v>78.27</v>
      </c>
      <c r="O260" s="38">
        <f t="shared" si="30"/>
        <v>19.756666666666668</v>
      </c>
      <c r="P260" s="38">
        <f t="shared" si="31"/>
        <v>58.513333333333328</v>
      </c>
      <c r="Q260" s="38"/>
      <c r="R260" s="38">
        <v>256.20999999999998</v>
      </c>
      <c r="S260" s="38">
        <v>15.18</v>
      </c>
      <c r="T260" s="38">
        <f t="shared" si="32"/>
        <v>241.02999999999997</v>
      </c>
      <c r="U260" s="38">
        <v>170.44</v>
      </c>
      <c r="V260" s="38">
        <v>2.54</v>
      </c>
      <c r="W260" s="38">
        <f t="shared" si="33"/>
        <v>152.72</v>
      </c>
      <c r="X260" s="38" t="s">
        <v>658</v>
      </c>
      <c r="Y260" s="9"/>
    </row>
    <row r="261" spans="1:25" ht="30" hidden="1" x14ac:dyDescent="0.25">
      <c r="A261" s="5" t="s">
        <v>303</v>
      </c>
      <c r="B261" s="9" t="s">
        <v>31</v>
      </c>
      <c r="C261" s="9" t="s">
        <v>392</v>
      </c>
      <c r="D261" s="9" t="s">
        <v>464</v>
      </c>
      <c r="E261" s="22">
        <v>45889</v>
      </c>
      <c r="F261" s="9">
        <v>2</v>
      </c>
      <c r="G261" s="10" t="s">
        <v>48</v>
      </c>
      <c r="H261" s="10" t="s">
        <v>116</v>
      </c>
      <c r="I261" s="9">
        <v>45</v>
      </c>
      <c r="J261" s="9" t="s">
        <v>363</v>
      </c>
      <c r="K261" s="38">
        <f t="shared" si="27"/>
        <v>45</v>
      </c>
      <c r="L261" s="38">
        <f t="shared" si="28"/>
        <v>19.756666666666668</v>
      </c>
      <c r="M261" s="38">
        <f t="shared" si="29"/>
        <v>25.243333333333332</v>
      </c>
      <c r="N261" s="38">
        <v>47.68</v>
      </c>
      <c r="O261" s="38">
        <f t="shared" si="30"/>
        <v>19.756666666666668</v>
      </c>
      <c r="P261" s="38">
        <f t="shared" si="31"/>
        <v>27.923333333333332</v>
      </c>
      <c r="Q261" s="38"/>
      <c r="R261" s="38">
        <v>244.26</v>
      </c>
      <c r="S261" s="38">
        <v>15.18</v>
      </c>
      <c r="T261" s="38">
        <f t="shared" si="32"/>
        <v>229.07999999999998</v>
      </c>
      <c r="U261" s="38">
        <v>168.92</v>
      </c>
      <c r="V261" s="38">
        <v>1.72</v>
      </c>
      <c r="W261" s="38">
        <f t="shared" si="33"/>
        <v>152.01999999999998</v>
      </c>
      <c r="X261" s="38" t="s">
        <v>658</v>
      </c>
      <c r="Y261" s="9" t="s">
        <v>387</v>
      </c>
    </row>
    <row r="262" spans="1:25" ht="30" hidden="1" x14ac:dyDescent="0.25">
      <c r="A262" s="5" t="s">
        <v>303</v>
      </c>
      <c r="B262" s="9" t="s">
        <v>31</v>
      </c>
      <c r="C262" s="9" t="s">
        <v>393</v>
      </c>
      <c r="D262" s="9" t="s">
        <v>464</v>
      </c>
      <c r="E262" s="22">
        <v>45889</v>
      </c>
      <c r="F262" s="9">
        <v>2</v>
      </c>
      <c r="G262" s="10" t="s">
        <v>49</v>
      </c>
      <c r="H262" s="10" t="s">
        <v>116</v>
      </c>
      <c r="I262" s="9">
        <v>45</v>
      </c>
      <c r="J262" s="9" t="s">
        <v>364</v>
      </c>
      <c r="K262" s="38">
        <f t="shared" si="27"/>
        <v>45</v>
      </c>
      <c r="L262" s="38">
        <f t="shared" si="28"/>
        <v>19.756666666666668</v>
      </c>
      <c r="M262" s="38">
        <f t="shared" si="29"/>
        <v>25.243333333333332</v>
      </c>
      <c r="N262" s="38">
        <v>46.38</v>
      </c>
      <c r="O262" s="38">
        <f t="shared" si="30"/>
        <v>19.756666666666668</v>
      </c>
      <c r="P262" s="38">
        <f t="shared" si="31"/>
        <v>26.623333333333335</v>
      </c>
      <c r="Q262" s="38"/>
      <c r="R262" s="38">
        <v>244.26</v>
      </c>
      <c r="S262" s="38">
        <v>15.18</v>
      </c>
      <c r="T262" s="38">
        <f t="shared" si="32"/>
        <v>229.07999999999998</v>
      </c>
      <c r="U262" s="38">
        <v>168.92</v>
      </c>
      <c r="V262" s="38">
        <v>1.72</v>
      </c>
      <c r="W262" s="38">
        <f t="shared" si="33"/>
        <v>152.01999999999998</v>
      </c>
      <c r="X262" s="38" t="s">
        <v>658</v>
      </c>
      <c r="Y262" s="9" t="s">
        <v>387</v>
      </c>
    </row>
    <row r="263" spans="1:25" x14ac:dyDescent="0.25">
      <c r="A263" s="5" t="s">
        <v>303</v>
      </c>
      <c r="B263" s="9" t="s">
        <v>27</v>
      </c>
      <c r="C263" s="9" t="s">
        <v>43</v>
      </c>
      <c r="D263" s="9" t="s">
        <v>411</v>
      </c>
      <c r="E263" s="22">
        <v>45889</v>
      </c>
      <c r="F263" s="9">
        <v>6</v>
      </c>
      <c r="G263" s="10" t="s">
        <v>68</v>
      </c>
      <c r="H263" s="10" t="s">
        <v>74</v>
      </c>
      <c r="I263" s="9">
        <v>174</v>
      </c>
      <c r="J263" s="9" t="s">
        <v>318</v>
      </c>
      <c r="K263" s="38">
        <f t="shared" si="27"/>
        <v>174</v>
      </c>
      <c r="L263" s="38">
        <f t="shared" si="28"/>
        <v>19.756666666666668</v>
      </c>
      <c r="M263" s="38">
        <f t="shared" si="29"/>
        <v>154.24333333333334</v>
      </c>
      <c r="N263" s="38">
        <v>167.15</v>
      </c>
      <c r="O263" s="38">
        <f t="shared" si="30"/>
        <v>19.756666666666668</v>
      </c>
      <c r="P263" s="38">
        <f t="shared" si="31"/>
        <v>147.39333333333335</v>
      </c>
      <c r="Q263" s="38">
        <v>4.25</v>
      </c>
      <c r="R263" s="38">
        <v>416.52</v>
      </c>
      <c r="S263" s="38">
        <v>15.18</v>
      </c>
      <c r="T263" s="38">
        <f t="shared" si="32"/>
        <v>401.34</v>
      </c>
      <c r="U263" s="38">
        <v>378.62</v>
      </c>
      <c r="V263" s="38">
        <v>1.57</v>
      </c>
      <c r="W263" s="38">
        <f t="shared" si="33"/>
        <v>361.87</v>
      </c>
      <c r="X263" s="38" t="s">
        <v>658</v>
      </c>
      <c r="Y263" s="9"/>
    </row>
    <row r="264" spans="1:25" hidden="1" x14ac:dyDescent="0.25">
      <c r="A264" s="5" t="s">
        <v>303</v>
      </c>
      <c r="B264" s="9" t="s">
        <v>28</v>
      </c>
      <c r="C264" s="9" t="s">
        <v>43</v>
      </c>
      <c r="D264" s="9" t="s">
        <v>422</v>
      </c>
      <c r="E264" s="22">
        <v>45889</v>
      </c>
      <c r="F264" s="9">
        <v>4</v>
      </c>
      <c r="G264" s="10" t="s">
        <v>68</v>
      </c>
      <c r="H264" s="10" t="s">
        <v>74</v>
      </c>
      <c r="I264" s="9">
        <v>123</v>
      </c>
      <c r="J264" s="9" t="s">
        <v>330</v>
      </c>
      <c r="K264" s="38">
        <f t="shared" si="27"/>
        <v>123</v>
      </c>
      <c r="L264" s="38">
        <f t="shared" si="28"/>
        <v>19.756666666666668</v>
      </c>
      <c r="M264" s="38">
        <f t="shared" si="29"/>
        <v>103.24333333333334</v>
      </c>
      <c r="N264" s="38">
        <v>117.99</v>
      </c>
      <c r="O264" s="38">
        <f t="shared" si="30"/>
        <v>19.756666666666668</v>
      </c>
      <c r="P264" s="38">
        <f t="shared" si="31"/>
        <v>98.23333333333332</v>
      </c>
      <c r="Q264" s="38">
        <v>3.5</v>
      </c>
      <c r="R264" s="38">
        <v>218.18</v>
      </c>
      <c r="S264" s="38">
        <v>15.18</v>
      </c>
      <c r="T264" s="38">
        <f t="shared" si="32"/>
        <v>203</v>
      </c>
      <c r="U264" s="38">
        <v>194.27</v>
      </c>
      <c r="V264" s="38">
        <v>1.66</v>
      </c>
      <c r="W264" s="38">
        <f t="shared" si="33"/>
        <v>177.43</v>
      </c>
      <c r="X264" s="38" t="s">
        <v>658</v>
      </c>
      <c r="Y264" s="9"/>
    </row>
    <row r="265" spans="1:25" ht="30" hidden="1" x14ac:dyDescent="0.25">
      <c r="A265" s="5" t="s">
        <v>303</v>
      </c>
      <c r="B265" s="9" t="s">
        <v>29</v>
      </c>
      <c r="C265" s="9" t="s">
        <v>43</v>
      </c>
      <c r="D265" s="9" t="s">
        <v>433</v>
      </c>
      <c r="E265" s="22">
        <v>45889</v>
      </c>
      <c r="F265" s="9">
        <v>7</v>
      </c>
      <c r="G265" s="10" t="s">
        <v>68</v>
      </c>
      <c r="H265" s="10" t="s">
        <v>74</v>
      </c>
      <c r="I265" s="37"/>
      <c r="J265" s="9" t="s">
        <v>342</v>
      </c>
      <c r="K265" s="39"/>
      <c r="L265" s="39"/>
      <c r="M265" s="39"/>
      <c r="N265" s="38">
        <v>176.81</v>
      </c>
      <c r="O265" s="38">
        <f t="shared" si="30"/>
        <v>19.756666666666668</v>
      </c>
      <c r="P265" s="38">
        <f t="shared" si="31"/>
        <v>157.05333333333334</v>
      </c>
      <c r="Q265" s="38">
        <v>5.5</v>
      </c>
      <c r="R265" s="38">
        <v>363.22</v>
      </c>
      <c r="S265" s="38">
        <v>15.18</v>
      </c>
      <c r="T265" s="38">
        <f t="shared" si="32"/>
        <v>348.04</v>
      </c>
      <c r="U265" s="38">
        <v>294.7</v>
      </c>
      <c r="V265" s="38">
        <v>1.66</v>
      </c>
      <c r="W265" s="38">
        <f t="shared" si="33"/>
        <v>277.85999999999996</v>
      </c>
      <c r="X265" s="38" t="s">
        <v>658</v>
      </c>
      <c r="Y265" s="9" t="s">
        <v>386</v>
      </c>
    </row>
    <row r="266" spans="1:25" hidden="1" x14ac:dyDescent="0.25">
      <c r="A266" s="5" t="s">
        <v>303</v>
      </c>
      <c r="B266" s="9" t="s">
        <v>30</v>
      </c>
      <c r="C266" s="9" t="s">
        <v>44</v>
      </c>
      <c r="D266" s="9" t="s">
        <v>444</v>
      </c>
      <c r="E266" s="22">
        <v>45889</v>
      </c>
      <c r="F266" s="37"/>
      <c r="G266" s="10" t="s">
        <v>68</v>
      </c>
      <c r="H266" s="10" t="s">
        <v>74</v>
      </c>
      <c r="I266" s="9">
        <v>110</v>
      </c>
      <c r="J266" s="9" t="s">
        <v>362</v>
      </c>
      <c r="K266" s="38">
        <f t="shared" ref="K266:K269" si="34">I266</f>
        <v>110</v>
      </c>
      <c r="L266" s="38">
        <f t="shared" ref="L266:L269" si="35">AVERAGE(19.9,19.77,19.6)</f>
        <v>19.756666666666668</v>
      </c>
      <c r="M266" s="38">
        <f t="shared" ref="M266:M269" si="36">K266-L266</f>
        <v>90.243333333333339</v>
      </c>
      <c r="N266" s="38">
        <v>96.46</v>
      </c>
      <c r="O266" s="38">
        <f t="shared" si="30"/>
        <v>19.756666666666668</v>
      </c>
      <c r="P266" s="38">
        <f t="shared" si="31"/>
        <v>76.703333333333319</v>
      </c>
      <c r="Q266" s="38" t="s">
        <v>376</v>
      </c>
      <c r="R266" s="38">
        <v>228.29</v>
      </c>
      <c r="S266" s="38">
        <v>15.18</v>
      </c>
      <c r="T266" s="38">
        <f t="shared" si="32"/>
        <v>213.10999999999999</v>
      </c>
      <c r="U266" s="38">
        <v>166.56</v>
      </c>
      <c r="V266" s="38">
        <v>1.65</v>
      </c>
      <c r="W266" s="38">
        <f t="shared" si="33"/>
        <v>149.72999999999999</v>
      </c>
      <c r="X266" s="38" t="s">
        <v>658</v>
      </c>
      <c r="Y266" s="9" t="s">
        <v>382</v>
      </c>
    </row>
    <row r="267" spans="1:25" hidden="1" x14ac:dyDescent="0.25">
      <c r="A267" s="5" t="s">
        <v>303</v>
      </c>
      <c r="B267" s="9" t="s">
        <v>31</v>
      </c>
      <c r="C267" s="9" t="s">
        <v>44</v>
      </c>
      <c r="D267" s="9" t="s">
        <v>455</v>
      </c>
      <c r="E267" s="22">
        <v>45889</v>
      </c>
      <c r="F267" s="37"/>
      <c r="G267" s="10" t="s">
        <v>68</v>
      </c>
      <c r="H267" s="10" t="s">
        <v>74</v>
      </c>
      <c r="I267" s="9">
        <v>112</v>
      </c>
      <c r="J267" s="9" t="s">
        <v>371</v>
      </c>
      <c r="K267" s="38">
        <f t="shared" si="34"/>
        <v>112</v>
      </c>
      <c r="L267" s="38">
        <f t="shared" si="35"/>
        <v>19.756666666666668</v>
      </c>
      <c r="M267" s="38">
        <f t="shared" si="36"/>
        <v>92.243333333333339</v>
      </c>
      <c r="N267" s="38">
        <v>95.44</v>
      </c>
      <c r="O267" s="38">
        <f t="shared" si="30"/>
        <v>19.756666666666668</v>
      </c>
      <c r="P267" s="38">
        <f t="shared" si="31"/>
        <v>75.683333333333337</v>
      </c>
      <c r="Q267" s="38">
        <v>4.5</v>
      </c>
      <c r="R267" s="38">
        <v>258.63</v>
      </c>
      <c r="S267" s="38">
        <v>15.18</v>
      </c>
      <c r="T267" s="38">
        <f t="shared" si="32"/>
        <v>243.45</v>
      </c>
      <c r="U267" s="38">
        <v>201.79</v>
      </c>
      <c r="V267" s="38">
        <v>1.56</v>
      </c>
      <c r="W267" s="38">
        <f t="shared" si="33"/>
        <v>185.04999999999998</v>
      </c>
      <c r="X267" s="38" t="s">
        <v>658</v>
      </c>
      <c r="Y267" s="9" t="s">
        <v>383</v>
      </c>
    </row>
    <row r="268" spans="1:25" hidden="1" x14ac:dyDescent="0.25">
      <c r="A268" s="5" t="s">
        <v>303</v>
      </c>
      <c r="B268" s="9" t="s">
        <v>30</v>
      </c>
      <c r="C268" s="9" t="s">
        <v>45</v>
      </c>
      <c r="D268" s="9" t="s">
        <v>444</v>
      </c>
      <c r="E268" s="22">
        <v>45889</v>
      </c>
      <c r="F268" s="37"/>
      <c r="G268" s="10" t="s">
        <v>68</v>
      </c>
      <c r="H268" s="10" t="s">
        <v>74</v>
      </c>
      <c r="I268" s="9">
        <v>119</v>
      </c>
      <c r="J268" s="9" t="s">
        <v>362</v>
      </c>
      <c r="K268" s="38">
        <f t="shared" si="34"/>
        <v>119</v>
      </c>
      <c r="L268" s="38">
        <f t="shared" si="35"/>
        <v>19.756666666666668</v>
      </c>
      <c r="M268" s="38">
        <f t="shared" si="36"/>
        <v>99.243333333333339</v>
      </c>
      <c r="N268" s="38">
        <v>102.12</v>
      </c>
      <c r="O268" s="38">
        <f t="shared" si="30"/>
        <v>19.756666666666668</v>
      </c>
      <c r="P268" s="38">
        <f t="shared" si="31"/>
        <v>82.363333333333344</v>
      </c>
      <c r="Q268" s="38">
        <v>4</v>
      </c>
      <c r="R268" s="38">
        <v>228.29</v>
      </c>
      <c r="S268" s="38">
        <v>15.18</v>
      </c>
      <c r="T268" s="38">
        <f t="shared" si="32"/>
        <v>213.10999999999999</v>
      </c>
      <c r="U268" s="38">
        <v>166.56</v>
      </c>
      <c r="V268" s="38">
        <v>1.65</v>
      </c>
      <c r="W268" s="38">
        <f t="shared" si="33"/>
        <v>149.72999999999999</v>
      </c>
      <c r="X268" s="38" t="s">
        <v>658</v>
      </c>
      <c r="Y268" s="9" t="s">
        <v>382</v>
      </c>
    </row>
    <row r="269" spans="1:25" hidden="1" x14ac:dyDescent="0.25">
      <c r="A269" s="5" t="s">
        <v>303</v>
      </c>
      <c r="B269" s="9" t="s">
        <v>31</v>
      </c>
      <c r="C269" s="9" t="s">
        <v>45</v>
      </c>
      <c r="D269" s="9" t="s">
        <v>455</v>
      </c>
      <c r="E269" s="22">
        <v>45889</v>
      </c>
      <c r="F269" s="37"/>
      <c r="G269" s="10" t="s">
        <v>68</v>
      </c>
      <c r="H269" s="10" t="s">
        <v>74</v>
      </c>
      <c r="I269" s="9">
        <v>35</v>
      </c>
      <c r="J269" s="9" t="s">
        <v>371</v>
      </c>
      <c r="K269" s="38">
        <f t="shared" si="34"/>
        <v>35</v>
      </c>
      <c r="L269" s="38">
        <f t="shared" si="35"/>
        <v>19.756666666666668</v>
      </c>
      <c r="M269" s="38">
        <f t="shared" si="36"/>
        <v>15.243333333333332</v>
      </c>
      <c r="N269" s="38">
        <v>31.46</v>
      </c>
      <c r="O269" s="38">
        <f t="shared" si="30"/>
        <v>19.756666666666668</v>
      </c>
      <c r="P269" s="38">
        <f t="shared" si="31"/>
        <v>11.703333333333333</v>
      </c>
      <c r="Q269" s="38" t="s">
        <v>375</v>
      </c>
      <c r="R269" s="38">
        <v>258.63</v>
      </c>
      <c r="S269" s="38">
        <v>15.18</v>
      </c>
      <c r="T269" s="38">
        <f t="shared" si="32"/>
        <v>243.45</v>
      </c>
      <c r="U269" s="38">
        <v>201.79</v>
      </c>
      <c r="V269" s="38">
        <v>1.56</v>
      </c>
      <c r="W269" s="38">
        <f t="shared" si="33"/>
        <v>185.04999999999998</v>
      </c>
      <c r="X269" s="38" t="s">
        <v>658</v>
      </c>
      <c r="Y269" s="9" t="s">
        <v>383</v>
      </c>
    </row>
    <row r="270" spans="1:25" s="73" customFormat="1" hidden="1" x14ac:dyDescent="0.25">
      <c r="A270" s="67" t="s">
        <v>303</v>
      </c>
      <c r="B270" s="68" t="s">
        <v>28</v>
      </c>
      <c r="C270" s="68" t="s">
        <v>33</v>
      </c>
      <c r="D270" s="68" t="s">
        <v>412</v>
      </c>
      <c r="E270" s="69">
        <v>45889</v>
      </c>
      <c r="F270" s="68">
        <v>1</v>
      </c>
      <c r="G270" s="70" t="s">
        <v>58</v>
      </c>
      <c r="H270" s="70" t="s">
        <v>74</v>
      </c>
      <c r="I270" s="68">
        <v>84</v>
      </c>
      <c r="J270" s="68" t="s">
        <v>262</v>
      </c>
      <c r="K270" s="71">
        <f t="shared" ref="K270:K301" si="37">I270</f>
        <v>84</v>
      </c>
      <c r="L270" s="71">
        <f t="shared" ref="L270:L301" si="38">AVERAGE(19.9,19.77,19.6)</f>
        <v>19.756666666666668</v>
      </c>
      <c r="M270" s="71">
        <f t="shared" ref="M270:M301" si="39">K270-L270</f>
        <v>64.243333333333339</v>
      </c>
      <c r="N270" s="71">
        <v>81.31</v>
      </c>
      <c r="O270" s="71">
        <f t="shared" ref="O270:O301" si="40">AVERAGE(19.9,19.77,19.6)</f>
        <v>19.756666666666668</v>
      </c>
      <c r="P270" s="71">
        <f t="shared" ref="P270:P301" si="41">N270-O270</f>
        <v>61.553333333333335</v>
      </c>
      <c r="Q270" s="71"/>
      <c r="R270" s="71">
        <v>131</v>
      </c>
      <c r="S270" s="71">
        <f t="shared" ref="S270:S301" si="42">O270</f>
        <v>19.756666666666668</v>
      </c>
      <c r="T270" s="71">
        <f t="shared" ref="T270:T301" si="43">R270-S270</f>
        <v>111.24333333333334</v>
      </c>
      <c r="U270" s="71">
        <v>113.02</v>
      </c>
      <c r="V270" s="72">
        <v>1.53</v>
      </c>
      <c r="W270" s="71">
        <f t="shared" ref="W270:W301" si="44">U270-S270-V270</f>
        <v>91.73333333333332</v>
      </c>
      <c r="X270" s="71" t="s">
        <v>658</v>
      </c>
      <c r="Y270" s="68"/>
    </row>
    <row r="271" spans="1:25" s="73" customFormat="1" hidden="1" x14ac:dyDescent="0.25">
      <c r="A271" s="67" t="s">
        <v>303</v>
      </c>
      <c r="B271" s="68" t="s">
        <v>28</v>
      </c>
      <c r="C271" s="68" t="s">
        <v>34</v>
      </c>
      <c r="D271" s="68" t="s">
        <v>413</v>
      </c>
      <c r="E271" s="69">
        <v>45889</v>
      </c>
      <c r="F271" s="68">
        <v>1</v>
      </c>
      <c r="G271" s="70" t="s">
        <v>59</v>
      </c>
      <c r="H271" s="70" t="s">
        <v>74</v>
      </c>
      <c r="I271" s="68">
        <v>85</v>
      </c>
      <c r="J271" s="68" t="s">
        <v>262</v>
      </c>
      <c r="K271" s="71">
        <f t="shared" si="37"/>
        <v>85</v>
      </c>
      <c r="L271" s="71">
        <f t="shared" si="38"/>
        <v>19.756666666666668</v>
      </c>
      <c r="M271" s="71">
        <f t="shared" si="39"/>
        <v>65.243333333333339</v>
      </c>
      <c r="N271" s="71">
        <v>83.19</v>
      </c>
      <c r="O271" s="71">
        <f t="shared" si="40"/>
        <v>19.756666666666668</v>
      </c>
      <c r="P271" s="71">
        <f t="shared" si="41"/>
        <v>63.43333333333333</v>
      </c>
      <c r="Q271" s="71"/>
      <c r="R271" s="71">
        <v>135.1</v>
      </c>
      <c r="S271" s="71">
        <f t="shared" si="42"/>
        <v>19.756666666666668</v>
      </c>
      <c r="T271" s="71">
        <f t="shared" si="43"/>
        <v>115.34333333333333</v>
      </c>
      <c r="U271" s="71">
        <v>110.79</v>
      </c>
      <c r="V271" s="72">
        <v>1.57</v>
      </c>
      <c r="W271" s="71">
        <f t="shared" si="44"/>
        <v>89.463333333333338</v>
      </c>
      <c r="X271" s="71" t="s">
        <v>658</v>
      </c>
      <c r="Y271" s="68"/>
    </row>
    <row r="272" spans="1:25" s="73" customFormat="1" hidden="1" x14ac:dyDescent="0.25">
      <c r="A272" s="67" t="s">
        <v>303</v>
      </c>
      <c r="B272" s="68" t="s">
        <v>29</v>
      </c>
      <c r="C272" s="68" t="s">
        <v>33</v>
      </c>
      <c r="D272" s="68" t="s">
        <v>423</v>
      </c>
      <c r="E272" s="69">
        <v>45889</v>
      </c>
      <c r="F272" s="68">
        <v>1</v>
      </c>
      <c r="G272" s="70" t="s">
        <v>58</v>
      </c>
      <c r="H272" s="70" t="s">
        <v>74</v>
      </c>
      <c r="I272" s="68">
        <v>132</v>
      </c>
      <c r="J272" s="68" t="s">
        <v>337</v>
      </c>
      <c r="K272" s="71">
        <f t="shared" si="37"/>
        <v>132</v>
      </c>
      <c r="L272" s="71">
        <f t="shared" si="38"/>
        <v>19.756666666666668</v>
      </c>
      <c r="M272" s="71">
        <f t="shared" si="39"/>
        <v>112.24333333333334</v>
      </c>
      <c r="N272" s="71">
        <v>129.38</v>
      </c>
      <c r="O272" s="71">
        <f t="shared" si="40"/>
        <v>19.756666666666668</v>
      </c>
      <c r="P272" s="71">
        <f t="shared" si="41"/>
        <v>109.62333333333333</v>
      </c>
      <c r="Q272" s="71"/>
      <c r="R272" s="71">
        <v>175.54</v>
      </c>
      <c r="S272" s="71">
        <f t="shared" si="42"/>
        <v>19.756666666666668</v>
      </c>
      <c r="T272" s="71">
        <f t="shared" si="43"/>
        <v>155.78333333333333</v>
      </c>
      <c r="U272" s="71">
        <v>110.21</v>
      </c>
      <c r="V272" s="72">
        <v>1.6</v>
      </c>
      <c r="W272" s="71">
        <f t="shared" si="44"/>
        <v>88.853333333333325</v>
      </c>
      <c r="X272" s="71" t="s">
        <v>658</v>
      </c>
      <c r="Y272" s="68"/>
    </row>
    <row r="273" spans="1:25" s="73" customFormat="1" hidden="1" x14ac:dyDescent="0.25">
      <c r="A273" s="67" t="s">
        <v>303</v>
      </c>
      <c r="B273" s="68" t="s">
        <v>29</v>
      </c>
      <c r="C273" s="68" t="s">
        <v>36</v>
      </c>
      <c r="D273" s="68" t="s">
        <v>426</v>
      </c>
      <c r="E273" s="69">
        <v>45889</v>
      </c>
      <c r="F273" s="68">
        <v>1</v>
      </c>
      <c r="G273" s="70" t="s">
        <v>61</v>
      </c>
      <c r="H273" s="70" t="s">
        <v>74</v>
      </c>
      <c r="I273" s="68">
        <v>82</v>
      </c>
      <c r="J273" s="68" t="s">
        <v>262</v>
      </c>
      <c r="K273" s="71">
        <f t="shared" si="37"/>
        <v>82</v>
      </c>
      <c r="L273" s="71">
        <f t="shared" si="38"/>
        <v>19.756666666666668</v>
      </c>
      <c r="M273" s="71">
        <f t="shared" si="39"/>
        <v>62.243333333333332</v>
      </c>
      <c r="N273" s="71">
        <v>78.34</v>
      </c>
      <c r="O273" s="71">
        <f t="shared" si="40"/>
        <v>19.756666666666668</v>
      </c>
      <c r="P273" s="71">
        <f t="shared" si="41"/>
        <v>58.583333333333336</v>
      </c>
      <c r="Q273" s="71"/>
      <c r="R273" s="71">
        <v>121.05</v>
      </c>
      <c r="S273" s="71">
        <f t="shared" si="42"/>
        <v>19.756666666666668</v>
      </c>
      <c r="T273" s="71">
        <f t="shared" si="43"/>
        <v>101.29333333333332</v>
      </c>
      <c r="U273" s="71">
        <v>108.52</v>
      </c>
      <c r="V273" s="72">
        <v>1.6</v>
      </c>
      <c r="W273" s="71">
        <f t="shared" si="44"/>
        <v>87.163333333333327</v>
      </c>
      <c r="X273" s="71" t="s">
        <v>658</v>
      </c>
      <c r="Y273" s="68"/>
    </row>
    <row r="274" spans="1:25" s="73" customFormat="1" hidden="1" x14ac:dyDescent="0.25">
      <c r="A274" s="67" t="s">
        <v>303</v>
      </c>
      <c r="B274" s="68" t="s">
        <v>28</v>
      </c>
      <c r="C274" s="68" t="s">
        <v>40</v>
      </c>
      <c r="D274" s="68" t="s">
        <v>419</v>
      </c>
      <c r="E274" s="69">
        <v>45889</v>
      </c>
      <c r="F274" s="68">
        <v>1</v>
      </c>
      <c r="G274" s="70" t="s">
        <v>65</v>
      </c>
      <c r="H274" s="70" t="s">
        <v>74</v>
      </c>
      <c r="I274" s="68">
        <v>69</v>
      </c>
      <c r="J274" s="68" t="s">
        <v>328</v>
      </c>
      <c r="K274" s="71">
        <f t="shared" si="37"/>
        <v>69</v>
      </c>
      <c r="L274" s="71">
        <f t="shared" si="38"/>
        <v>19.756666666666668</v>
      </c>
      <c r="M274" s="71">
        <f t="shared" si="39"/>
        <v>49.243333333333332</v>
      </c>
      <c r="N274" s="71">
        <v>67.540000000000006</v>
      </c>
      <c r="O274" s="71">
        <f t="shared" si="40"/>
        <v>19.756666666666668</v>
      </c>
      <c r="P274" s="71">
        <f t="shared" si="41"/>
        <v>47.783333333333339</v>
      </c>
      <c r="Q274" s="71"/>
      <c r="R274" s="71">
        <v>112.14</v>
      </c>
      <c r="S274" s="71">
        <f t="shared" si="42"/>
        <v>19.756666666666668</v>
      </c>
      <c r="T274" s="71">
        <f t="shared" si="43"/>
        <v>92.383333333333326</v>
      </c>
      <c r="U274" s="71">
        <v>101.81</v>
      </c>
      <c r="V274" s="72">
        <v>1.57</v>
      </c>
      <c r="W274" s="71">
        <f t="shared" si="44"/>
        <v>80.483333333333348</v>
      </c>
      <c r="X274" s="71" t="s">
        <v>658</v>
      </c>
      <c r="Y274" s="68"/>
    </row>
    <row r="275" spans="1:25" s="73" customFormat="1" hidden="1" x14ac:dyDescent="0.25">
      <c r="A275" s="67" t="s">
        <v>303</v>
      </c>
      <c r="B275" s="68" t="s">
        <v>29</v>
      </c>
      <c r="C275" s="68" t="s">
        <v>38</v>
      </c>
      <c r="D275" s="68" t="s">
        <v>428</v>
      </c>
      <c r="E275" s="69">
        <v>45889</v>
      </c>
      <c r="F275" s="68">
        <v>1</v>
      </c>
      <c r="G275" s="70" t="s">
        <v>63</v>
      </c>
      <c r="H275" s="70" t="s">
        <v>74</v>
      </c>
      <c r="I275" s="68">
        <v>71</v>
      </c>
      <c r="J275" s="68" t="s">
        <v>320</v>
      </c>
      <c r="K275" s="71">
        <f t="shared" si="37"/>
        <v>71</v>
      </c>
      <c r="L275" s="71">
        <f t="shared" si="38"/>
        <v>19.756666666666668</v>
      </c>
      <c r="M275" s="71">
        <f t="shared" si="39"/>
        <v>51.243333333333332</v>
      </c>
      <c r="N275" s="71">
        <v>68.349999999999994</v>
      </c>
      <c r="O275" s="71">
        <f t="shared" si="40"/>
        <v>19.756666666666668</v>
      </c>
      <c r="P275" s="71">
        <f t="shared" si="41"/>
        <v>48.593333333333327</v>
      </c>
      <c r="Q275" s="71"/>
      <c r="R275" s="71">
        <v>120.64</v>
      </c>
      <c r="S275" s="71">
        <f t="shared" si="42"/>
        <v>19.756666666666668</v>
      </c>
      <c r="T275" s="71">
        <f t="shared" si="43"/>
        <v>100.88333333333333</v>
      </c>
      <c r="U275" s="71">
        <v>100.7</v>
      </c>
      <c r="V275" s="72">
        <v>1.72</v>
      </c>
      <c r="W275" s="71">
        <f t="shared" si="44"/>
        <v>79.223333333333329</v>
      </c>
      <c r="X275" s="71" t="s">
        <v>658</v>
      </c>
      <c r="Y275" s="68"/>
    </row>
    <row r="276" spans="1:25" s="73" customFormat="1" hidden="1" x14ac:dyDescent="0.25">
      <c r="A276" s="67" t="s">
        <v>303</v>
      </c>
      <c r="B276" s="68" t="s">
        <v>28</v>
      </c>
      <c r="C276" s="68" t="s">
        <v>36</v>
      </c>
      <c r="D276" s="68" t="s">
        <v>415</v>
      </c>
      <c r="E276" s="69">
        <v>45889</v>
      </c>
      <c r="F276" s="68">
        <v>1</v>
      </c>
      <c r="G276" s="70" t="s">
        <v>61</v>
      </c>
      <c r="H276" s="70" t="s">
        <v>74</v>
      </c>
      <c r="I276" s="68">
        <v>91</v>
      </c>
      <c r="J276" s="68" t="s">
        <v>326</v>
      </c>
      <c r="K276" s="71">
        <f t="shared" si="37"/>
        <v>91</v>
      </c>
      <c r="L276" s="71">
        <f t="shared" si="38"/>
        <v>19.756666666666668</v>
      </c>
      <c r="M276" s="71">
        <f t="shared" si="39"/>
        <v>71.243333333333339</v>
      </c>
      <c r="N276" s="71">
        <v>87.83</v>
      </c>
      <c r="O276" s="71">
        <f t="shared" si="40"/>
        <v>19.756666666666668</v>
      </c>
      <c r="P276" s="71">
        <f t="shared" si="41"/>
        <v>68.073333333333323</v>
      </c>
      <c r="Q276" s="71"/>
      <c r="R276" s="71">
        <v>119.18</v>
      </c>
      <c r="S276" s="71">
        <f t="shared" si="42"/>
        <v>19.756666666666668</v>
      </c>
      <c r="T276" s="71">
        <f t="shared" si="43"/>
        <v>99.423333333333346</v>
      </c>
      <c r="U276" s="71">
        <v>94.79</v>
      </c>
      <c r="V276" s="72">
        <v>1.55</v>
      </c>
      <c r="W276" s="71">
        <f t="shared" si="44"/>
        <v>73.483333333333334</v>
      </c>
      <c r="X276" s="71" t="s">
        <v>658</v>
      </c>
      <c r="Y276" s="68"/>
    </row>
    <row r="277" spans="1:25" s="73" customFormat="1" hidden="1" x14ac:dyDescent="0.25">
      <c r="A277" s="67" t="s">
        <v>303</v>
      </c>
      <c r="B277" s="68" t="s">
        <v>29</v>
      </c>
      <c r="C277" s="68" t="s">
        <v>39</v>
      </c>
      <c r="D277" s="68" t="s">
        <v>429</v>
      </c>
      <c r="E277" s="69">
        <v>45889</v>
      </c>
      <c r="F277" s="68">
        <v>1</v>
      </c>
      <c r="G277" s="70" t="s">
        <v>64</v>
      </c>
      <c r="H277" s="70" t="s">
        <v>74</v>
      </c>
      <c r="I277" s="68">
        <v>98</v>
      </c>
      <c r="J277" s="68" t="s">
        <v>340</v>
      </c>
      <c r="K277" s="71">
        <f t="shared" si="37"/>
        <v>98</v>
      </c>
      <c r="L277" s="71">
        <f t="shared" si="38"/>
        <v>19.756666666666668</v>
      </c>
      <c r="M277" s="71">
        <f t="shared" si="39"/>
        <v>78.243333333333339</v>
      </c>
      <c r="N277" s="71">
        <v>95.13</v>
      </c>
      <c r="O277" s="71">
        <f t="shared" si="40"/>
        <v>19.756666666666668</v>
      </c>
      <c r="P277" s="71">
        <f t="shared" si="41"/>
        <v>75.373333333333335</v>
      </c>
      <c r="Q277" s="71"/>
      <c r="R277" s="71">
        <v>132.47999999999999</v>
      </c>
      <c r="S277" s="71">
        <f t="shared" si="42"/>
        <v>19.756666666666668</v>
      </c>
      <c r="T277" s="71">
        <f t="shared" si="43"/>
        <v>112.72333333333333</v>
      </c>
      <c r="U277" s="71">
        <v>94.28</v>
      </c>
      <c r="V277" s="72">
        <v>1.51</v>
      </c>
      <c r="W277" s="71">
        <f t="shared" si="44"/>
        <v>73.013333333333335</v>
      </c>
      <c r="X277" s="71" t="s">
        <v>658</v>
      </c>
      <c r="Y277" s="68"/>
    </row>
    <row r="278" spans="1:25" s="73" customFormat="1" hidden="1" x14ac:dyDescent="0.25">
      <c r="A278" s="67" t="s">
        <v>303</v>
      </c>
      <c r="B278" s="68" t="s">
        <v>28</v>
      </c>
      <c r="C278" s="68" t="s">
        <v>39</v>
      </c>
      <c r="D278" s="68" t="s">
        <v>418</v>
      </c>
      <c r="E278" s="69">
        <v>45889</v>
      </c>
      <c r="F278" s="68">
        <v>1</v>
      </c>
      <c r="G278" s="70" t="s">
        <v>64</v>
      </c>
      <c r="H278" s="70" t="s">
        <v>85</v>
      </c>
      <c r="I278" s="68">
        <v>67</v>
      </c>
      <c r="J278" s="68" t="s">
        <v>328</v>
      </c>
      <c r="K278" s="71">
        <f t="shared" si="37"/>
        <v>67</v>
      </c>
      <c r="L278" s="71">
        <f t="shared" si="38"/>
        <v>19.756666666666668</v>
      </c>
      <c r="M278" s="71">
        <f t="shared" si="39"/>
        <v>47.243333333333332</v>
      </c>
      <c r="N278" s="71">
        <v>64.150000000000006</v>
      </c>
      <c r="O278" s="71">
        <f t="shared" si="40"/>
        <v>19.756666666666668</v>
      </c>
      <c r="P278" s="71">
        <f t="shared" si="41"/>
        <v>44.393333333333338</v>
      </c>
      <c r="Q278" s="71"/>
      <c r="R278" s="71">
        <v>98.77</v>
      </c>
      <c r="S278" s="71">
        <f t="shared" si="42"/>
        <v>19.756666666666668</v>
      </c>
      <c r="T278" s="71">
        <f t="shared" si="43"/>
        <v>79.013333333333321</v>
      </c>
      <c r="U278" s="71">
        <v>92.58</v>
      </c>
      <c r="V278" s="72">
        <v>1.68</v>
      </c>
      <c r="W278" s="71">
        <f t="shared" si="44"/>
        <v>71.143333333333317</v>
      </c>
      <c r="X278" s="71" t="s">
        <v>658</v>
      </c>
      <c r="Y278" s="68"/>
    </row>
    <row r="279" spans="1:25" s="73" customFormat="1" hidden="1" x14ac:dyDescent="0.25">
      <c r="A279" s="67" t="s">
        <v>303</v>
      </c>
      <c r="B279" s="68" t="s">
        <v>29</v>
      </c>
      <c r="C279" s="68" t="s">
        <v>34</v>
      </c>
      <c r="D279" s="68" t="s">
        <v>424</v>
      </c>
      <c r="E279" s="69">
        <v>45889</v>
      </c>
      <c r="F279" s="68">
        <v>1</v>
      </c>
      <c r="G279" s="70" t="s">
        <v>59</v>
      </c>
      <c r="H279" s="70" t="s">
        <v>74</v>
      </c>
      <c r="I279" s="68">
        <v>61</v>
      </c>
      <c r="J279" s="68" t="s">
        <v>338</v>
      </c>
      <c r="K279" s="71">
        <f t="shared" si="37"/>
        <v>61</v>
      </c>
      <c r="L279" s="71">
        <f t="shared" si="38"/>
        <v>19.756666666666668</v>
      </c>
      <c r="M279" s="71">
        <f t="shared" si="39"/>
        <v>41.243333333333332</v>
      </c>
      <c r="N279" s="71">
        <v>57.83</v>
      </c>
      <c r="O279" s="71">
        <f t="shared" si="40"/>
        <v>19.756666666666668</v>
      </c>
      <c r="P279" s="71">
        <f t="shared" si="41"/>
        <v>38.073333333333331</v>
      </c>
      <c r="Q279" s="71"/>
      <c r="R279" s="71">
        <v>101.75</v>
      </c>
      <c r="S279" s="71">
        <f t="shared" si="42"/>
        <v>19.756666666666668</v>
      </c>
      <c r="T279" s="71">
        <f t="shared" si="43"/>
        <v>81.993333333333339</v>
      </c>
      <c r="U279" s="71">
        <v>92.42</v>
      </c>
      <c r="V279" s="72">
        <v>1.77</v>
      </c>
      <c r="W279" s="71">
        <f t="shared" si="44"/>
        <v>70.893333333333331</v>
      </c>
      <c r="X279" s="71" t="s">
        <v>658</v>
      </c>
      <c r="Y279" s="68"/>
    </row>
    <row r="280" spans="1:25" s="85" customFormat="1" hidden="1" x14ac:dyDescent="0.25">
      <c r="A280" s="7" t="s">
        <v>303</v>
      </c>
      <c r="B280" s="37" t="s">
        <v>29</v>
      </c>
      <c r="C280" s="37" t="s">
        <v>40</v>
      </c>
      <c r="D280" s="37" t="s">
        <v>430</v>
      </c>
      <c r="E280" s="82">
        <v>45889</v>
      </c>
      <c r="F280" s="37">
        <v>1</v>
      </c>
      <c r="G280" s="83" t="s">
        <v>65</v>
      </c>
      <c r="H280" s="83" t="s">
        <v>85</v>
      </c>
      <c r="I280" s="37">
        <v>60</v>
      </c>
      <c r="J280" s="37" t="s">
        <v>341</v>
      </c>
      <c r="K280" s="39">
        <f t="shared" si="37"/>
        <v>60</v>
      </c>
      <c r="L280" s="39">
        <f t="shared" si="38"/>
        <v>19.756666666666668</v>
      </c>
      <c r="M280" s="39">
        <f t="shared" si="39"/>
        <v>40.243333333333332</v>
      </c>
      <c r="N280" s="39">
        <v>57.36</v>
      </c>
      <c r="O280" s="39">
        <f t="shared" si="40"/>
        <v>19.756666666666668</v>
      </c>
      <c r="P280" s="39">
        <f t="shared" si="41"/>
        <v>37.603333333333332</v>
      </c>
      <c r="Q280" s="39"/>
      <c r="R280" s="39">
        <v>104.2</v>
      </c>
      <c r="S280" s="39">
        <f t="shared" si="42"/>
        <v>19.756666666666668</v>
      </c>
      <c r="T280" s="39">
        <f t="shared" si="43"/>
        <v>84.443333333333328</v>
      </c>
      <c r="U280" s="39">
        <v>91.54</v>
      </c>
      <c r="V280" s="84">
        <v>1.67</v>
      </c>
      <c r="W280" s="39">
        <f t="shared" si="44"/>
        <v>70.11333333333333</v>
      </c>
      <c r="X280" s="39" t="s">
        <v>658</v>
      </c>
      <c r="Y280" s="37"/>
    </row>
    <row r="281" spans="1:25" s="85" customFormat="1" hidden="1" x14ac:dyDescent="0.25">
      <c r="A281" s="7" t="s">
        <v>303</v>
      </c>
      <c r="B281" s="37" t="s">
        <v>28</v>
      </c>
      <c r="C281" s="37" t="s">
        <v>35</v>
      </c>
      <c r="D281" s="37" t="s">
        <v>414</v>
      </c>
      <c r="E281" s="82">
        <v>45889</v>
      </c>
      <c r="F281" s="37">
        <v>1</v>
      </c>
      <c r="G281" s="83" t="s">
        <v>60</v>
      </c>
      <c r="H281" s="83" t="s">
        <v>74</v>
      </c>
      <c r="I281" s="37">
        <v>78</v>
      </c>
      <c r="J281" s="37" t="s">
        <v>262</v>
      </c>
      <c r="K281" s="39">
        <f t="shared" si="37"/>
        <v>78</v>
      </c>
      <c r="L281" s="39">
        <f t="shared" si="38"/>
        <v>19.756666666666668</v>
      </c>
      <c r="M281" s="39">
        <f t="shared" si="39"/>
        <v>58.243333333333332</v>
      </c>
      <c r="N281" s="39">
        <v>75.260000000000005</v>
      </c>
      <c r="O281" s="39">
        <f t="shared" si="40"/>
        <v>19.756666666666668</v>
      </c>
      <c r="P281" s="39">
        <f t="shared" si="41"/>
        <v>55.503333333333337</v>
      </c>
      <c r="Q281" s="39"/>
      <c r="R281" s="39">
        <v>103.93</v>
      </c>
      <c r="S281" s="39">
        <f t="shared" si="42"/>
        <v>19.756666666666668</v>
      </c>
      <c r="T281" s="39">
        <f t="shared" si="43"/>
        <v>84.173333333333346</v>
      </c>
      <c r="U281" s="39">
        <v>90.63</v>
      </c>
      <c r="V281" s="84">
        <v>1.53</v>
      </c>
      <c r="W281" s="39">
        <f t="shared" si="44"/>
        <v>69.343333333333334</v>
      </c>
      <c r="X281" s="39" t="s">
        <v>658</v>
      </c>
      <c r="Y281" s="37"/>
    </row>
    <row r="282" spans="1:25" s="85" customFormat="1" hidden="1" x14ac:dyDescent="0.25">
      <c r="A282" s="7" t="s">
        <v>303</v>
      </c>
      <c r="B282" s="37" t="s">
        <v>29</v>
      </c>
      <c r="C282" s="37" t="s">
        <v>35</v>
      </c>
      <c r="D282" s="37" t="s">
        <v>425</v>
      </c>
      <c r="E282" s="82">
        <v>45889</v>
      </c>
      <c r="F282" s="37">
        <v>1</v>
      </c>
      <c r="G282" s="83" t="s">
        <v>60</v>
      </c>
      <c r="H282" s="83" t="s">
        <v>74</v>
      </c>
      <c r="I282" s="37">
        <v>61</v>
      </c>
      <c r="J282" s="37" t="s">
        <v>339</v>
      </c>
      <c r="K282" s="39">
        <f t="shared" si="37"/>
        <v>61</v>
      </c>
      <c r="L282" s="39">
        <f t="shared" si="38"/>
        <v>19.756666666666668</v>
      </c>
      <c r="M282" s="39">
        <f t="shared" si="39"/>
        <v>41.243333333333332</v>
      </c>
      <c r="N282" s="39">
        <v>59.49</v>
      </c>
      <c r="O282" s="39">
        <f t="shared" si="40"/>
        <v>19.756666666666668</v>
      </c>
      <c r="P282" s="39">
        <f t="shared" si="41"/>
        <v>39.733333333333334</v>
      </c>
      <c r="Q282" s="39"/>
      <c r="R282" s="39">
        <v>99.12</v>
      </c>
      <c r="S282" s="39">
        <f t="shared" si="42"/>
        <v>19.756666666666668</v>
      </c>
      <c r="T282" s="39">
        <f t="shared" si="43"/>
        <v>79.363333333333344</v>
      </c>
      <c r="U282" s="39">
        <v>90.43</v>
      </c>
      <c r="V282" s="84">
        <v>1.5</v>
      </c>
      <c r="W282" s="39">
        <f t="shared" si="44"/>
        <v>69.173333333333346</v>
      </c>
      <c r="X282" s="39" t="s">
        <v>658</v>
      </c>
      <c r="Y282" s="37"/>
    </row>
    <row r="283" spans="1:25" s="85" customFormat="1" hidden="1" x14ac:dyDescent="0.25">
      <c r="A283" s="7" t="s">
        <v>303</v>
      </c>
      <c r="B283" s="37" t="s">
        <v>29</v>
      </c>
      <c r="C283" s="37" t="s">
        <v>37</v>
      </c>
      <c r="D283" s="37" t="s">
        <v>427</v>
      </c>
      <c r="E283" s="82">
        <v>45889</v>
      </c>
      <c r="F283" s="37">
        <v>1</v>
      </c>
      <c r="G283" s="83" t="s">
        <v>62</v>
      </c>
      <c r="H283" s="83" t="s">
        <v>74</v>
      </c>
      <c r="I283" s="37">
        <v>66</v>
      </c>
      <c r="J283" s="37" t="s">
        <v>262</v>
      </c>
      <c r="K283" s="39">
        <f t="shared" si="37"/>
        <v>66</v>
      </c>
      <c r="L283" s="39">
        <f t="shared" si="38"/>
        <v>19.756666666666668</v>
      </c>
      <c r="M283" s="39">
        <f t="shared" si="39"/>
        <v>46.243333333333332</v>
      </c>
      <c r="N283" s="39">
        <v>63.58</v>
      </c>
      <c r="O283" s="39">
        <f t="shared" si="40"/>
        <v>19.756666666666668</v>
      </c>
      <c r="P283" s="39">
        <f t="shared" si="41"/>
        <v>43.823333333333331</v>
      </c>
      <c r="Q283" s="39"/>
      <c r="R283" s="39">
        <v>105.47</v>
      </c>
      <c r="S283" s="39">
        <f t="shared" si="42"/>
        <v>19.756666666666668</v>
      </c>
      <c r="T283" s="39">
        <f t="shared" si="43"/>
        <v>85.713333333333338</v>
      </c>
      <c r="U283" s="39">
        <v>90.32</v>
      </c>
      <c r="V283" s="84">
        <v>1.51</v>
      </c>
      <c r="W283" s="39">
        <f t="shared" si="44"/>
        <v>69.053333333333327</v>
      </c>
      <c r="X283" s="39" t="s">
        <v>658</v>
      </c>
      <c r="Y283" s="37"/>
    </row>
    <row r="284" spans="1:25" s="85" customFormat="1" ht="30" hidden="1" x14ac:dyDescent="0.25">
      <c r="A284" s="7" t="s">
        <v>303</v>
      </c>
      <c r="B284" s="37" t="s">
        <v>28</v>
      </c>
      <c r="C284" s="37" t="s">
        <v>38</v>
      </c>
      <c r="D284" s="37" t="s">
        <v>417</v>
      </c>
      <c r="E284" s="82">
        <v>45889</v>
      </c>
      <c r="F284" s="37">
        <v>1</v>
      </c>
      <c r="G284" s="83" t="s">
        <v>63</v>
      </c>
      <c r="H284" s="83" t="s">
        <v>85</v>
      </c>
      <c r="I284" s="37">
        <v>70</v>
      </c>
      <c r="J284" s="37" t="s">
        <v>327</v>
      </c>
      <c r="K284" s="39">
        <f t="shared" si="37"/>
        <v>70</v>
      </c>
      <c r="L284" s="39">
        <f t="shared" si="38"/>
        <v>19.756666666666668</v>
      </c>
      <c r="M284" s="39">
        <f t="shared" si="39"/>
        <v>50.243333333333332</v>
      </c>
      <c r="N284" s="39">
        <v>67.66</v>
      </c>
      <c r="O284" s="39">
        <f t="shared" si="40"/>
        <v>19.756666666666668</v>
      </c>
      <c r="P284" s="39">
        <f t="shared" si="41"/>
        <v>47.903333333333329</v>
      </c>
      <c r="Q284" s="39"/>
      <c r="R284" s="39">
        <v>102.98</v>
      </c>
      <c r="S284" s="39">
        <f t="shared" si="42"/>
        <v>19.756666666666668</v>
      </c>
      <c r="T284" s="39">
        <f t="shared" si="43"/>
        <v>83.223333333333329</v>
      </c>
      <c r="U284" s="39">
        <v>89.93</v>
      </c>
      <c r="V284" s="84">
        <v>1.53</v>
      </c>
      <c r="W284" s="39">
        <f t="shared" si="44"/>
        <v>68.643333333333345</v>
      </c>
      <c r="X284" s="39" t="s">
        <v>658</v>
      </c>
      <c r="Y284" s="37"/>
    </row>
    <row r="285" spans="1:25" s="85" customFormat="1" hidden="1" x14ac:dyDescent="0.25">
      <c r="A285" s="7" t="s">
        <v>303</v>
      </c>
      <c r="B285" s="37" t="s">
        <v>28</v>
      </c>
      <c r="C285" s="37" t="s">
        <v>37</v>
      </c>
      <c r="D285" s="37" t="s">
        <v>416</v>
      </c>
      <c r="E285" s="82">
        <v>45889</v>
      </c>
      <c r="F285" s="37">
        <v>1</v>
      </c>
      <c r="G285" s="83" t="s">
        <v>62</v>
      </c>
      <c r="H285" s="83" t="s">
        <v>74</v>
      </c>
      <c r="I285" s="37">
        <v>70</v>
      </c>
      <c r="J285" s="37" t="s">
        <v>326</v>
      </c>
      <c r="K285" s="39">
        <f t="shared" si="37"/>
        <v>70</v>
      </c>
      <c r="L285" s="39">
        <f t="shared" si="38"/>
        <v>19.756666666666668</v>
      </c>
      <c r="M285" s="39">
        <f t="shared" si="39"/>
        <v>50.243333333333332</v>
      </c>
      <c r="N285" s="39">
        <v>67.7</v>
      </c>
      <c r="O285" s="39">
        <f t="shared" si="40"/>
        <v>19.756666666666668</v>
      </c>
      <c r="P285" s="39">
        <f t="shared" si="41"/>
        <v>47.943333333333335</v>
      </c>
      <c r="Q285" s="39"/>
      <c r="R285" s="39">
        <v>100.02</v>
      </c>
      <c r="S285" s="39">
        <f t="shared" si="42"/>
        <v>19.756666666666668</v>
      </c>
      <c r="T285" s="39">
        <f t="shared" si="43"/>
        <v>80.263333333333321</v>
      </c>
      <c r="U285" s="39">
        <v>85.11</v>
      </c>
      <c r="V285" s="84">
        <v>1.55</v>
      </c>
      <c r="W285" s="39">
        <f t="shared" si="44"/>
        <v>63.803333333333327</v>
      </c>
      <c r="X285" s="39" t="s">
        <v>658</v>
      </c>
      <c r="Y285" s="37"/>
    </row>
    <row r="286" spans="1:25" s="85" customFormat="1" hidden="1" x14ac:dyDescent="0.25">
      <c r="A286" s="7" t="s">
        <v>303</v>
      </c>
      <c r="B286" s="37" t="s">
        <v>29</v>
      </c>
      <c r="C286" s="37" t="s">
        <v>42</v>
      </c>
      <c r="D286" s="37" t="s">
        <v>432</v>
      </c>
      <c r="E286" s="82">
        <v>45889</v>
      </c>
      <c r="F286" s="37">
        <v>1</v>
      </c>
      <c r="G286" s="83" t="s">
        <v>67</v>
      </c>
      <c r="H286" s="83" t="s">
        <v>85</v>
      </c>
      <c r="I286" s="37">
        <v>54</v>
      </c>
      <c r="J286" s="37" t="s">
        <v>341</v>
      </c>
      <c r="K286" s="39">
        <f t="shared" si="37"/>
        <v>54</v>
      </c>
      <c r="L286" s="39">
        <f t="shared" si="38"/>
        <v>19.756666666666668</v>
      </c>
      <c r="M286" s="39">
        <f t="shared" si="39"/>
        <v>34.243333333333332</v>
      </c>
      <c r="N286" s="39">
        <v>51.92</v>
      </c>
      <c r="O286" s="39">
        <f t="shared" si="40"/>
        <v>19.756666666666668</v>
      </c>
      <c r="P286" s="39">
        <f t="shared" si="41"/>
        <v>32.163333333333334</v>
      </c>
      <c r="Q286" s="39"/>
      <c r="R286" s="39">
        <v>96.57</v>
      </c>
      <c r="S286" s="39">
        <f t="shared" si="42"/>
        <v>19.756666666666668</v>
      </c>
      <c r="T286" s="39">
        <f t="shared" si="43"/>
        <v>76.813333333333333</v>
      </c>
      <c r="U286" s="39">
        <v>84.71</v>
      </c>
      <c r="V286" s="39">
        <v>1.53</v>
      </c>
      <c r="W286" s="39">
        <f t="shared" si="44"/>
        <v>63.423333333333318</v>
      </c>
      <c r="X286" s="39" t="s">
        <v>658</v>
      </c>
      <c r="Y286" s="37"/>
    </row>
    <row r="287" spans="1:25" s="85" customFormat="1" hidden="1" x14ac:dyDescent="0.25">
      <c r="A287" s="7" t="s">
        <v>303</v>
      </c>
      <c r="B287" s="37" t="s">
        <v>31</v>
      </c>
      <c r="C287" s="37" t="s">
        <v>34</v>
      </c>
      <c r="D287" s="37" t="s">
        <v>446</v>
      </c>
      <c r="E287" s="82">
        <v>45889</v>
      </c>
      <c r="F287" s="37">
        <v>1</v>
      </c>
      <c r="G287" s="83" t="s">
        <v>59</v>
      </c>
      <c r="H287" s="83" t="s">
        <v>85</v>
      </c>
      <c r="I287" s="37">
        <v>81</v>
      </c>
      <c r="J287" s="37" t="s">
        <v>368</v>
      </c>
      <c r="K287" s="39">
        <f t="shared" si="37"/>
        <v>81</v>
      </c>
      <c r="L287" s="39">
        <f t="shared" si="38"/>
        <v>19.756666666666668</v>
      </c>
      <c r="M287" s="39">
        <f t="shared" si="39"/>
        <v>61.243333333333332</v>
      </c>
      <c r="N287" s="39">
        <v>71.59</v>
      </c>
      <c r="O287" s="39">
        <f t="shared" si="40"/>
        <v>19.756666666666668</v>
      </c>
      <c r="P287" s="39">
        <f t="shared" si="41"/>
        <v>51.833333333333336</v>
      </c>
      <c r="Q287" s="39"/>
      <c r="R287" s="39">
        <v>100.2</v>
      </c>
      <c r="S287" s="39">
        <f t="shared" si="42"/>
        <v>19.756666666666668</v>
      </c>
      <c r="T287" s="39">
        <f t="shared" si="43"/>
        <v>80.443333333333328</v>
      </c>
      <c r="U287" s="39">
        <v>83.02</v>
      </c>
      <c r="V287" s="84">
        <v>1.61</v>
      </c>
      <c r="W287" s="39">
        <f t="shared" si="44"/>
        <v>61.653333333333329</v>
      </c>
      <c r="X287" s="39" t="s">
        <v>658</v>
      </c>
      <c r="Y287" s="37"/>
    </row>
    <row r="288" spans="1:25" s="85" customFormat="1" ht="30" hidden="1" x14ac:dyDescent="0.25">
      <c r="A288" s="7" t="s">
        <v>303</v>
      </c>
      <c r="B288" s="37" t="s">
        <v>31</v>
      </c>
      <c r="C288" s="37" t="s">
        <v>40</v>
      </c>
      <c r="D288" s="37" t="s">
        <v>452</v>
      </c>
      <c r="E288" s="82">
        <v>45889</v>
      </c>
      <c r="F288" s="37">
        <v>1</v>
      </c>
      <c r="G288" s="83" t="s">
        <v>65</v>
      </c>
      <c r="H288" s="83" t="s">
        <v>85</v>
      </c>
      <c r="I288" s="37">
        <v>71</v>
      </c>
      <c r="J288" s="37" t="s">
        <v>369</v>
      </c>
      <c r="K288" s="39">
        <f t="shared" si="37"/>
        <v>71</v>
      </c>
      <c r="L288" s="39">
        <f t="shared" si="38"/>
        <v>19.756666666666668</v>
      </c>
      <c r="M288" s="39">
        <f t="shared" si="39"/>
        <v>51.243333333333332</v>
      </c>
      <c r="N288" s="39">
        <v>61.73</v>
      </c>
      <c r="O288" s="39">
        <f t="shared" si="40"/>
        <v>19.756666666666668</v>
      </c>
      <c r="P288" s="39">
        <f t="shared" si="41"/>
        <v>41.973333333333329</v>
      </c>
      <c r="Q288" s="39"/>
      <c r="R288" s="39">
        <v>98.1</v>
      </c>
      <c r="S288" s="39">
        <f t="shared" si="42"/>
        <v>19.756666666666668</v>
      </c>
      <c r="T288" s="39">
        <f t="shared" si="43"/>
        <v>78.343333333333334</v>
      </c>
      <c r="U288" s="39">
        <v>80.28</v>
      </c>
      <c r="V288" s="84">
        <v>1.55</v>
      </c>
      <c r="W288" s="39">
        <f t="shared" si="44"/>
        <v>58.973333333333336</v>
      </c>
      <c r="X288" s="39" t="s">
        <v>658</v>
      </c>
      <c r="Y288" s="37"/>
    </row>
    <row r="289" spans="1:25" s="85" customFormat="1" ht="30" hidden="1" x14ac:dyDescent="0.25">
      <c r="A289" s="7" t="s">
        <v>303</v>
      </c>
      <c r="B289" s="37" t="s">
        <v>31</v>
      </c>
      <c r="C289" s="37" t="s">
        <v>39</v>
      </c>
      <c r="D289" s="37" t="s">
        <v>451</v>
      </c>
      <c r="E289" s="82">
        <v>45889</v>
      </c>
      <c r="F289" s="37">
        <v>1</v>
      </c>
      <c r="G289" s="83" t="s">
        <v>64</v>
      </c>
      <c r="H289" s="83" t="s">
        <v>85</v>
      </c>
      <c r="I289" s="37">
        <v>68</v>
      </c>
      <c r="J289" s="37" t="s">
        <v>369</v>
      </c>
      <c r="K289" s="39">
        <f t="shared" si="37"/>
        <v>68</v>
      </c>
      <c r="L289" s="39">
        <f t="shared" si="38"/>
        <v>19.756666666666668</v>
      </c>
      <c r="M289" s="39">
        <f t="shared" si="39"/>
        <v>48.243333333333332</v>
      </c>
      <c r="N289" s="39">
        <v>60.58</v>
      </c>
      <c r="O289" s="39">
        <f t="shared" si="40"/>
        <v>19.756666666666668</v>
      </c>
      <c r="P289" s="39">
        <f t="shared" si="41"/>
        <v>40.823333333333331</v>
      </c>
      <c r="Q289" s="39"/>
      <c r="R289" s="39">
        <v>100.01</v>
      </c>
      <c r="S289" s="39">
        <f t="shared" si="42"/>
        <v>19.756666666666668</v>
      </c>
      <c r="T289" s="39">
        <f t="shared" si="43"/>
        <v>80.25333333333333</v>
      </c>
      <c r="U289" s="39">
        <v>79.61</v>
      </c>
      <c r="V289" s="84">
        <v>1.52</v>
      </c>
      <c r="W289" s="39">
        <f t="shared" si="44"/>
        <v>58.333333333333329</v>
      </c>
      <c r="X289" s="39" t="s">
        <v>658</v>
      </c>
      <c r="Y289" s="37"/>
    </row>
    <row r="290" spans="1:25" s="85" customFormat="1" hidden="1" x14ac:dyDescent="0.25">
      <c r="A290" s="7" t="s">
        <v>303</v>
      </c>
      <c r="B290" s="37" t="s">
        <v>30</v>
      </c>
      <c r="C290" s="37" t="s">
        <v>33</v>
      </c>
      <c r="D290" s="37" t="s">
        <v>434</v>
      </c>
      <c r="E290" s="82">
        <v>45889</v>
      </c>
      <c r="F290" s="37">
        <v>1</v>
      </c>
      <c r="G290" s="83" t="s">
        <v>58</v>
      </c>
      <c r="H290" s="83" t="s">
        <v>85</v>
      </c>
      <c r="I290" s="37">
        <v>79</v>
      </c>
      <c r="J290" s="37" t="s">
        <v>353</v>
      </c>
      <c r="K290" s="39">
        <f t="shared" si="37"/>
        <v>79</v>
      </c>
      <c r="L290" s="39">
        <f t="shared" si="38"/>
        <v>19.756666666666668</v>
      </c>
      <c r="M290" s="39">
        <f t="shared" si="39"/>
        <v>59.243333333333332</v>
      </c>
      <c r="N290" s="39">
        <v>71.209999999999994</v>
      </c>
      <c r="O290" s="39">
        <f t="shared" si="40"/>
        <v>19.756666666666668</v>
      </c>
      <c r="P290" s="39">
        <f t="shared" si="41"/>
        <v>51.453333333333326</v>
      </c>
      <c r="Q290" s="39"/>
      <c r="R290" s="39">
        <v>142.5</v>
      </c>
      <c r="S290" s="39">
        <f t="shared" si="42"/>
        <v>19.756666666666668</v>
      </c>
      <c r="T290" s="39">
        <f t="shared" si="43"/>
        <v>122.74333333333334</v>
      </c>
      <c r="U290" s="39">
        <v>79.59</v>
      </c>
      <c r="V290" s="84">
        <v>1.58</v>
      </c>
      <c r="W290" s="39">
        <f t="shared" si="44"/>
        <v>58.253333333333337</v>
      </c>
      <c r="X290" s="39" t="s">
        <v>658</v>
      </c>
      <c r="Y290" s="37"/>
    </row>
    <row r="291" spans="1:25" s="85" customFormat="1" hidden="1" x14ac:dyDescent="0.25">
      <c r="A291" s="7" t="s">
        <v>303</v>
      </c>
      <c r="B291" s="37" t="s">
        <v>31</v>
      </c>
      <c r="C291" s="37" t="s">
        <v>35</v>
      </c>
      <c r="D291" s="37" t="s">
        <v>447</v>
      </c>
      <c r="E291" s="82">
        <v>45889</v>
      </c>
      <c r="F291" s="37">
        <v>1</v>
      </c>
      <c r="G291" s="83" t="s">
        <v>60</v>
      </c>
      <c r="H291" s="83" t="s">
        <v>85</v>
      </c>
      <c r="I291" s="37">
        <v>69</v>
      </c>
      <c r="J291" s="37" t="s">
        <v>368</v>
      </c>
      <c r="K291" s="39">
        <f t="shared" si="37"/>
        <v>69</v>
      </c>
      <c r="L291" s="39">
        <f t="shared" si="38"/>
        <v>19.756666666666668</v>
      </c>
      <c r="M291" s="39">
        <f t="shared" si="39"/>
        <v>49.243333333333332</v>
      </c>
      <c r="N291" s="39">
        <v>61.57</v>
      </c>
      <c r="O291" s="39">
        <f t="shared" si="40"/>
        <v>19.756666666666668</v>
      </c>
      <c r="P291" s="39">
        <f t="shared" si="41"/>
        <v>41.813333333333333</v>
      </c>
      <c r="Q291" s="39"/>
      <c r="R291" s="39">
        <v>99.67</v>
      </c>
      <c r="S291" s="39">
        <f t="shared" si="42"/>
        <v>19.756666666666668</v>
      </c>
      <c r="T291" s="39">
        <f t="shared" si="43"/>
        <v>79.913333333333327</v>
      </c>
      <c r="U291" s="39">
        <v>79.180000000000007</v>
      </c>
      <c r="V291" s="84">
        <v>1.62</v>
      </c>
      <c r="W291" s="39">
        <f t="shared" si="44"/>
        <v>57.803333333333342</v>
      </c>
      <c r="X291" s="39" t="s">
        <v>658</v>
      </c>
      <c r="Y291" s="37"/>
    </row>
    <row r="292" spans="1:25" s="85" customFormat="1" ht="30" hidden="1" x14ac:dyDescent="0.25">
      <c r="A292" s="7" t="s">
        <v>303</v>
      </c>
      <c r="B292" s="37" t="s">
        <v>31</v>
      </c>
      <c r="C292" s="37" t="s">
        <v>38</v>
      </c>
      <c r="D292" s="37" t="s">
        <v>450</v>
      </c>
      <c r="E292" s="82">
        <v>45889</v>
      </c>
      <c r="F292" s="37">
        <v>1</v>
      </c>
      <c r="G292" s="83" t="s">
        <v>63</v>
      </c>
      <c r="H292" s="83" t="s">
        <v>85</v>
      </c>
      <c r="I292" s="37">
        <v>75</v>
      </c>
      <c r="J292" s="37" t="s">
        <v>369</v>
      </c>
      <c r="K292" s="39">
        <f t="shared" si="37"/>
        <v>75</v>
      </c>
      <c r="L292" s="39">
        <f t="shared" si="38"/>
        <v>19.756666666666668</v>
      </c>
      <c r="M292" s="39">
        <f t="shared" si="39"/>
        <v>55.243333333333332</v>
      </c>
      <c r="N292" s="39">
        <v>67.36</v>
      </c>
      <c r="O292" s="39">
        <f t="shared" si="40"/>
        <v>19.756666666666668</v>
      </c>
      <c r="P292" s="39">
        <f t="shared" si="41"/>
        <v>47.603333333333332</v>
      </c>
      <c r="Q292" s="39"/>
      <c r="R292" s="39">
        <v>105.34</v>
      </c>
      <c r="S292" s="39">
        <f t="shared" si="42"/>
        <v>19.756666666666668</v>
      </c>
      <c r="T292" s="39">
        <f t="shared" si="43"/>
        <v>85.583333333333343</v>
      </c>
      <c r="U292" s="39">
        <v>78.739999999999995</v>
      </c>
      <c r="V292" s="84">
        <v>1.6</v>
      </c>
      <c r="W292" s="39">
        <f t="shared" si="44"/>
        <v>57.383333333333326</v>
      </c>
      <c r="X292" s="39" t="s">
        <v>658</v>
      </c>
      <c r="Y292" s="37"/>
    </row>
    <row r="293" spans="1:25" s="85" customFormat="1" hidden="1" x14ac:dyDescent="0.25">
      <c r="A293" s="7" t="s">
        <v>303</v>
      </c>
      <c r="B293" s="37" t="s">
        <v>30</v>
      </c>
      <c r="C293" s="37" t="s">
        <v>40</v>
      </c>
      <c r="D293" s="37" t="s">
        <v>441</v>
      </c>
      <c r="E293" s="82">
        <v>45889</v>
      </c>
      <c r="F293" s="37">
        <v>1</v>
      </c>
      <c r="G293" s="83" t="s">
        <v>65</v>
      </c>
      <c r="H293" s="83" t="s">
        <v>85</v>
      </c>
      <c r="I293" s="37">
        <v>76</v>
      </c>
      <c r="J293" s="37" t="s">
        <v>330</v>
      </c>
      <c r="K293" s="39">
        <f t="shared" si="37"/>
        <v>76</v>
      </c>
      <c r="L293" s="39">
        <f t="shared" si="38"/>
        <v>19.756666666666668</v>
      </c>
      <c r="M293" s="39">
        <f t="shared" si="39"/>
        <v>56.243333333333332</v>
      </c>
      <c r="N293" s="39">
        <v>66.430000000000007</v>
      </c>
      <c r="O293" s="39">
        <f t="shared" si="40"/>
        <v>19.756666666666668</v>
      </c>
      <c r="P293" s="39">
        <f t="shared" si="41"/>
        <v>46.673333333333339</v>
      </c>
      <c r="Q293" s="39"/>
      <c r="R293" s="39">
        <v>93.14</v>
      </c>
      <c r="S293" s="39">
        <f t="shared" si="42"/>
        <v>19.756666666666668</v>
      </c>
      <c r="T293" s="39">
        <f t="shared" si="43"/>
        <v>73.383333333333326</v>
      </c>
      <c r="U293" s="39">
        <v>78.510000000000005</v>
      </c>
      <c r="V293" s="84">
        <v>1.61</v>
      </c>
      <c r="W293" s="39">
        <f t="shared" si="44"/>
        <v>57.143333333333338</v>
      </c>
      <c r="X293" s="39" t="s">
        <v>658</v>
      </c>
      <c r="Y293" s="37"/>
    </row>
    <row r="294" spans="1:25" s="85" customFormat="1" hidden="1" x14ac:dyDescent="0.25">
      <c r="A294" s="7" t="s">
        <v>303</v>
      </c>
      <c r="B294" s="37" t="s">
        <v>29</v>
      </c>
      <c r="C294" s="37" t="s">
        <v>41</v>
      </c>
      <c r="D294" s="37" t="s">
        <v>431</v>
      </c>
      <c r="E294" s="82">
        <v>45889</v>
      </c>
      <c r="F294" s="37">
        <v>1</v>
      </c>
      <c r="G294" s="83" t="s">
        <v>66</v>
      </c>
      <c r="H294" s="83" t="s">
        <v>85</v>
      </c>
      <c r="I294" s="37">
        <v>60</v>
      </c>
      <c r="J294" s="37" t="s">
        <v>341</v>
      </c>
      <c r="K294" s="39">
        <f t="shared" si="37"/>
        <v>60</v>
      </c>
      <c r="L294" s="39">
        <f t="shared" si="38"/>
        <v>19.756666666666668</v>
      </c>
      <c r="M294" s="39">
        <f t="shared" si="39"/>
        <v>40.243333333333332</v>
      </c>
      <c r="N294" s="39">
        <v>57.71</v>
      </c>
      <c r="O294" s="39">
        <f t="shared" si="40"/>
        <v>19.756666666666668</v>
      </c>
      <c r="P294" s="39">
        <f t="shared" si="41"/>
        <v>37.953333333333333</v>
      </c>
      <c r="Q294" s="39"/>
      <c r="R294" s="39">
        <v>89.41</v>
      </c>
      <c r="S294" s="39">
        <f t="shared" si="42"/>
        <v>19.756666666666668</v>
      </c>
      <c r="T294" s="39">
        <f t="shared" si="43"/>
        <v>69.653333333333336</v>
      </c>
      <c r="U294" s="39">
        <v>77.59</v>
      </c>
      <c r="V294" s="84">
        <v>1.56</v>
      </c>
      <c r="W294" s="39">
        <f t="shared" si="44"/>
        <v>56.273333333333333</v>
      </c>
      <c r="X294" s="39" t="s">
        <v>658</v>
      </c>
      <c r="Y294" s="37"/>
    </row>
    <row r="295" spans="1:25" s="85" customFormat="1" hidden="1" x14ac:dyDescent="0.25">
      <c r="A295" s="7" t="s">
        <v>303</v>
      </c>
      <c r="B295" s="37" t="s">
        <v>31</v>
      </c>
      <c r="C295" s="37" t="s">
        <v>33</v>
      </c>
      <c r="D295" s="37" t="s">
        <v>445</v>
      </c>
      <c r="E295" s="82">
        <v>45889</v>
      </c>
      <c r="F295" s="37">
        <v>1</v>
      </c>
      <c r="G295" s="83" t="s">
        <v>58</v>
      </c>
      <c r="H295" s="83" t="s">
        <v>85</v>
      </c>
      <c r="I295" s="37">
        <v>98</v>
      </c>
      <c r="J295" s="37" t="s">
        <v>367</v>
      </c>
      <c r="K295" s="39">
        <f t="shared" si="37"/>
        <v>98</v>
      </c>
      <c r="L295" s="39">
        <f t="shared" si="38"/>
        <v>19.756666666666668</v>
      </c>
      <c r="M295" s="39">
        <f t="shared" si="39"/>
        <v>78.243333333333339</v>
      </c>
      <c r="N295" s="39">
        <v>83.09</v>
      </c>
      <c r="O295" s="39">
        <f t="shared" si="40"/>
        <v>19.756666666666668</v>
      </c>
      <c r="P295" s="39">
        <f t="shared" si="41"/>
        <v>63.333333333333336</v>
      </c>
      <c r="Q295" s="39"/>
      <c r="R295" s="39">
        <v>88.99</v>
      </c>
      <c r="S295" s="39">
        <f t="shared" si="42"/>
        <v>19.756666666666668</v>
      </c>
      <c r="T295" s="39">
        <f t="shared" si="43"/>
        <v>69.23333333333332</v>
      </c>
      <c r="U295" s="39">
        <v>76.989999999999995</v>
      </c>
      <c r="V295" s="84">
        <v>1.57</v>
      </c>
      <c r="W295" s="39">
        <f t="shared" si="44"/>
        <v>55.663333333333327</v>
      </c>
      <c r="X295" s="39" t="s">
        <v>658</v>
      </c>
      <c r="Y295" s="37"/>
    </row>
    <row r="296" spans="1:25" s="85" customFormat="1" hidden="1" x14ac:dyDescent="0.25">
      <c r="A296" s="7" t="s">
        <v>303</v>
      </c>
      <c r="B296" s="37" t="s">
        <v>28</v>
      </c>
      <c r="C296" s="37" t="s">
        <v>42</v>
      </c>
      <c r="D296" s="37" t="s">
        <v>421</v>
      </c>
      <c r="E296" s="82">
        <v>45889</v>
      </c>
      <c r="F296" s="37">
        <v>1</v>
      </c>
      <c r="G296" s="83" t="s">
        <v>67</v>
      </c>
      <c r="H296" s="83" t="s">
        <v>85</v>
      </c>
      <c r="I296" s="37">
        <v>62</v>
      </c>
      <c r="J296" s="37" t="s">
        <v>329</v>
      </c>
      <c r="K296" s="39">
        <f t="shared" si="37"/>
        <v>62</v>
      </c>
      <c r="L296" s="39">
        <f t="shared" si="38"/>
        <v>19.756666666666668</v>
      </c>
      <c r="M296" s="39">
        <f t="shared" si="39"/>
        <v>42.243333333333332</v>
      </c>
      <c r="N296" s="39">
        <v>58.99</v>
      </c>
      <c r="O296" s="39">
        <f t="shared" si="40"/>
        <v>19.756666666666668</v>
      </c>
      <c r="P296" s="39">
        <f t="shared" si="41"/>
        <v>39.233333333333334</v>
      </c>
      <c r="Q296" s="39"/>
      <c r="R296" s="39">
        <v>89.92</v>
      </c>
      <c r="S296" s="39">
        <f t="shared" si="42"/>
        <v>19.756666666666668</v>
      </c>
      <c r="T296" s="39">
        <f t="shared" si="43"/>
        <v>70.163333333333327</v>
      </c>
      <c r="U296" s="39">
        <v>75.78</v>
      </c>
      <c r="V296" s="39">
        <v>1.65</v>
      </c>
      <c r="W296" s="39">
        <f t="shared" si="44"/>
        <v>54.373333333333335</v>
      </c>
      <c r="X296" s="39" t="s">
        <v>658</v>
      </c>
      <c r="Y296" s="37"/>
    </row>
    <row r="297" spans="1:25" s="85" customFormat="1" hidden="1" x14ac:dyDescent="0.25">
      <c r="A297" s="7" t="s">
        <v>303</v>
      </c>
      <c r="B297" s="37" t="s">
        <v>28</v>
      </c>
      <c r="C297" s="37" t="s">
        <v>41</v>
      </c>
      <c r="D297" s="37" t="s">
        <v>420</v>
      </c>
      <c r="E297" s="82">
        <v>45889</v>
      </c>
      <c r="F297" s="37">
        <v>1</v>
      </c>
      <c r="G297" s="83" t="s">
        <v>66</v>
      </c>
      <c r="H297" s="83" t="s">
        <v>74</v>
      </c>
      <c r="I297" s="37">
        <v>54</v>
      </c>
      <c r="J297" s="37" t="s">
        <v>328</v>
      </c>
      <c r="K297" s="39">
        <f t="shared" si="37"/>
        <v>54</v>
      </c>
      <c r="L297" s="39">
        <f t="shared" si="38"/>
        <v>19.756666666666668</v>
      </c>
      <c r="M297" s="39">
        <f t="shared" si="39"/>
        <v>34.243333333333332</v>
      </c>
      <c r="N297" s="39">
        <v>52.12</v>
      </c>
      <c r="O297" s="39">
        <f t="shared" si="40"/>
        <v>19.756666666666668</v>
      </c>
      <c r="P297" s="39">
        <f t="shared" si="41"/>
        <v>32.36333333333333</v>
      </c>
      <c r="Q297" s="39"/>
      <c r="R297" s="39">
        <v>118.02</v>
      </c>
      <c r="S297" s="39">
        <f t="shared" si="42"/>
        <v>19.756666666666668</v>
      </c>
      <c r="T297" s="39">
        <f t="shared" si="43"/>
        <v>98.263333333333321</v>
      </c>
      <c r="U297" s="39">
        <v>75.069999999999993</v>
      </c>
      <c r="V297" s="84">
        <v>1.54</v>
      </c>
      <c r="W297" s="39">
        <f t="shared" si="44"/>
        <v>53.773333333333326</v>
      </c>
      <c r="X297" s="39" t="s">
        <v>658</v>
      </c>
      <c r="Y297" s="37"/>
    </row>
    <row r="298" spans="1:25" s="85" customFormat="1" x14ac:dyDescent="0.25">
      <c r="A298" s="7" t="s">
        <v>303</v>
      </c>
      <c r="B298" s="37" t="s">
        <v>27</v>
      </c>
      <c r="C298" s="37" t="s">
        <v>42</v>
      </c>
      <c r="D298" s="37" t="s">
        <v>410</v>
      </c>
      <c r="E298" s="82">
        <v>45889</v>
      </c>
      <c r="F298" s="37">
        <v>1</v>
      </c>
      <c r="G298" s="83" t="s">
        <v>67</v>
      </c>
      <c r="H298" s="83" t="s">
        <v>74</v>
      </c>
      <c r="I298" s="37">
        <v>50</v>
      </c>
      <c r="J298" s="37" t="s">
        <v>317</v>
      </c>
      <c r="K298" s="39">
        <f t="shared" si="37"/>
        <v>50</v>
      </c>
      <c r="L298" s="39">
        <f t="shared" si="38"/>
        <v>19.756666666666668</v>
      </c>
      <c r="M298" s="39">
        <f t="shared" si="39"/>
        <v>30.243333333333332</v>
      </c>
      <c r="N298" s="39">
        <v>48.23</v>
      </c>
      <c r="O298" s="39">
        <f t="shared" si="40"/>
        <v>19.756666666666668</v>
      </c>
      <c r="P298" s="39">
        <f t="shared" si="41"/>
        <v>28.473333333333329</v>
      </c>
      <c r="Q298" s="39"/>
      <c r="R298" s="39">
        <v>77.08</v>
      </c>
      <c r="S298" s="39">
        <f t="shared" si="42"/>
        <v>19.756666666666668</v>
      </c>
      <c r="T298" s="39">
        <f t="shared" si="43"/>
        <v>57.323333333333331</v>
      </c>
      <c r="U298" s="39">
        <v>73.44</v>
      </c>
      <c r="V298" s="39">
        <v>0</v>
      </c>
      <c r="W298" s="39">
        <f t="shared" si="44"/>
        <v>53.68333333333333</v>
      </c>
      <c r="X298" s="39" t="s">
        <v>658</v>
      </c>
      <c r="Y298" s="37"/>
    </row>
    <row r="299" spans="1:25" s="85" customFormat="1" ht="30" x14ac:dyDescent="0.25">
      <c r="A299" s="7" t="s">
        <v>303</v>
      </c>
      <c r="B299" s="37" t="s">
        <v>27</v>
      </c>
      <c r="C299" s="37" t="s">
        <v>41</v>
      </c>
      <c r="D299" s="37" t="s">
        <v>409</v>
      </c>
      <c r="E299" s="82">
        <v>45889</v>
      </c>
      <c r="F299" s="37">
        <v>1</v>
      </c>
      <c r="G299" s="83" t="s">
        <v>66</v>
      </c>
      <c r="H299" s="83" t="s">
        <v>74</v>
      </c>
      <c r="I299" s="37">
        <v>40</v>
      </c>
      <c r="J299" s="37" t="s">
        <v>316</v>
      </c>
      <c r="K299" s="39">
        <f t="shared" si="37"/>
        <v>40</v>
      </c>
      <c r="L299" s="39">
        <f t="shared" si="38"/>
        <v>19.756666666666668</v>
      </c>
      <c r="M299" s="39">
        <f t="shared" si="39"/>
        <v>20.243333333333332</v>
      </c>
      <c r="N299" s="39">
        <v>38.549999999999997</v>
      </c>
      <c r="O299" s="39">
        <f t="shared" si="40"/>
        <v>19.756666666666668</v>
      </c>
      <c r="P299" s="39">
        <f t="shared" si="41"/>
        <v>18.793333333333329</v>
      </c>
      <c r="Q299" s="39"/>
      <c r="R299" s="39">
        <v>77.02</v>
      </c>
      <c r="S299" s="39">
        <f t="shared" si="42"/>
        <v>19.756666666666668</v>
      </c>
      <c r="T299" s="39">
        <f t="shared" si="43"/>
        <v>57.263333333333328</v>
      </c>
      <c r="U299" s="39">
        <v>74.7</v>
      </c>
      <c r="V299" s="84">
        <v>1.52</v>
      </c>
      <c r="W299" s="39">
        <f t="shared" si="44"/>
        <v>53.423333333333332</v>
      </c>
      <c r="X299" s="39" t="s">
        <v>658</v>
      </c>
      <c r="Y299" s="37"/>
    </row>
    <row r="300" spans="1:25" s="95" customFormat="1" ht="30" hidden="1" x14ac:dyDescent="0.25">
      <c r="A300" s="17" t="s">
        <v>303</v>
      </c>
      <c r="B300" s="90" t="s">
        <v>30</v>
      </c>
      <c r="C300" s="90" t="s">
        <v>37</v>
      </c>
      <c r="D300" s="90" t="s">
        <v>438</v>
      </c>
      <c r="E300" s="91">
        <v>45889</v>
      </c>
      <c r="F300" s="90">
        <v>1</v>
      </c>
      <c r="G300" s="92" t="s">
        <v>62</v>
      </c>
      <c r="H300" s="92" t="s">
        <v>85</v>
      </c>
      <c r="I300" s="90">
        <v>72</v>
      </c>
      <c r="J300" s="90" t="s">
        <v>357</v>
      </c>
      <c r="K300" s="93">
        <f t="shared" si="37"/>
        <v>72</v>
      </c>
      <c r="L300" s="93">
        <f t="shared" si="38"/>
        <v>19.756666666666668</v>
      </c>
      <c r="M300" s="93">
        <f t="shared" si="39"/>
        <v>52.243333333333332</v>
      </c>
      <c r="N300" s="93">
        <v>66.09</v>
      </c>
      <c r="O300" s="93">
        <f t="shared" si="40"/>
        <v>19.756666666666668</v>
      </c>
      <c r="P300" s="93">
        <f t="shared" si="41"/>
        <v>46.333333333333336</v>
      </c>
      <c r="Q300" s="93"/>
      <c r="R300" s="93">
        <v>103.07</v>
      </c>
      <c r="S300" s="93">
        <f t="shared" si="42"/>
        <v>19.756666666666668</v>
      </c>
      <c r="T300" s="93">
        <f t="shared" si="43"/>
        <v>83.313333333333333</v>
      </c>
      <c r="U300" s="93">
        <v>73.42</v>
      </c>
      <c r="V300" s="94">
        <v>1.65</v>
      </c>
      <c r="W300" s="93">
        <f t="shared" si="44"/>
        <v>52.013333333333335</v>
      </c>
      <c r="X300" s="93" t="s">
        <v>658</v>
      </c>
      <c r="Y300" s="90"/>
    </row>
    <row r="301" spans="1:25" s="95" customFormat="1" ht="30" hidden="1" x14ac:dyDescent="0.25">
      <c r="A301" s="17" t="s">
        <v>303</v>
      </c>
      <c r="B301" s="90" t="s">
        <v>30</v>
      </c>
      <c r="C301" s="90" t="s">
        <v>38</v>
      </c>
      <c r="D301" s="90" t="s">
        <v>439</v>
      </c>
      <c r="E301" s="91">
        <v>45889</v>
      </c>
      <c r="F301" s="90">
        <v>1</v>
      </c>
      <c r="G301" s="92" t="s">
        <v>63</v>
      </c>
      <c r="H301" s="92" t="s">
        <v>85</v>
      </c>
      <c r="I301" s="90">
        <v>88</v>
      </c>
      <c r="J301" s="90" t="s">
        <v>358</v>
      </c>
      <c r="K301" s="93">
        <f t="shared" si="37"/>
        <v>88</v>
      </c>
      <c r="L301" s="93">
        <f t="shared" si="38"/>
        <v>19.756666666666668</v>
      </c>
      <c r="M301" s="93">
        <f t="shared" si="39"/>
        <v>68.243333333333339</v>
      </c>
      <c r="N301" s="93">
        <v>81.34</v>
      </c>
      <c r="O301" s="93">
        <f t="shared" si="40"/>
        <v>19.756666666666668</v>
      </c>
      <c r="P301" s="93">
        <f t="shared" si="41"/>
        <v>61.583333333333336</v>
      </c>
      <c r="Q301" s="93"/>
      <c r="R301" s="93">
        <v>106.41</v>
      </c>
      <c r="S301" s="93">
        <f t="shared" si="42"/>
        <v>19.756666666666668</v>
      </c>
      <c r="T301" s="93">
        <f t="shared" si="43"/>
        <v>86.653333333333336</v>
      </c>
      <c r="U301" s="93">
        <v>73.06</v>
      </c>
      <c r="V301" s="94">
        <v>1.57</v>
      </c>
      <c r="W301" s="93">
        <f t="shared" si="44"/>
        <v>51.733333333333334</v>
      </c>
      <c r="X301" s="93" t="s">
        <v>658</v>
      </c>
      <c r="Y301" s="90"/>
    </row>
    <row r="302" spans="1:25" s="95" customFormat="1" hidden="1" x14ac:dyDescent="0.25">
      <c r="A302" s="17" t="s">
        <v>303</v>
      </c>
      <c r="B302" s="90" t="s">
        <v>30</v>
      </c>
      <c r="C302" s="90" t="s">
        <v>36</v>
      </c>
      <c r="D302" s="90" t="s">
        <v>437</v>
      </c>
      <c r="E302" s="91">
        <v>45889</v>
      </c>
      <c r="F302" s="90">
        <v>1</v>
      </c>
      <c r="G302" s="92" t="s">
        <v>61</v>
      </c>
      <c r="H302" s="92" t="s">
        <v>85</v>
      </c>
      <c r="I302" s="90">
        <v>67</v>
      </c>
      <c r="J302" s="90" t="s">
        <v>356</v>
      </c>
      <c r="K302" s="93">
        <f t="shared" ref="K302:K319" si="45">I302</f>
        <v>67</v>
      </c>
      <c r="L302" s="93">
        <f t="shared" ref="L302:L319" si="46">AVERAGE(19.9,19.77,19.6)</f>
        <v>19.756666666666668</v>
      </c>
      <c r="M302" s="93">
        <f t="shared" ref="M302:M319" si="47">K302-L302</f>
        <v>47.243333333333332</v>
      </c>
      <c r="N302" s="93">
        <v>62.13</v>
      </c>
      <c r="O302" s="93">
        <f t="shared" ref="O302:O319" si="48">AVERAGE(19.9,19.77,19.6)</f>
        <v>19.756666666666668</v>
      </c>
      <c r="P302" s="93">
        <f t="shared" ref="P302:P319" si="49">N302-O302</f>
        <v>42.373333333333335</v>
      </c>
      <c r="Q302" s="93"/>
      <c r="R302" s="93">
        <v>85.62</v>
      </c>
      <c r="S302" s="93">
        <f t="shared" ref="S302:S319" si="50">O302</f>
        <v>19.756666666666668</v>
      </c>
      <c r="T302" s="93">
        <f t="shared" ref="T302:T319" si="51">R302-S302</f>
        <v>65.863333333333344</v>
      </c>
      <c r="U302" s="93">
        <v>73.010000000000005</v>
      </c>
      <c r="V302" s="94">
        <v>1.55</v>
      </c>
      <c r="W302" s="93">
        <f t="shared" ref="W302:W319" si="52">U302-S302-V302</f>
        <v>51.70333333333334</v>
      </c>
      <c r="X302" s="93" t="s">
        <v>658</v>
      </c>
      <c r="Y302" s="90"/>
    </row>
    <row r="303" spans="1:25" s="95" customFormat="1" ht="30" hidden="1" x14ac:dyDescent="0.25">
      <c r="A303" s="17" t="s">
        <v>303</v>
      </c>
      <c r="B303" s="90" t="s">
        <v>30</v>
      </c>
      <c r="C303" s="90" t="s">
        <v>39</v>
      </c>
      <c r="D303" s="90" t="s">
        <v>440</v>
      </c>
      <c r="E303" s="91">
        <v>45889</v>
      </c>
      <c r="F303" s="90">
        <v>1</v>
      </c>
      <c r="G303" s="92" t="s">
        <v>64</v>
      </c>
      <c r="H303" s="92" t="s">
        <v>85</v>
      </c>
      <c r="I303" s="90">
        <v>70</v>
      </c>
      <c r="J303" s="90" t="s">
        <v>359</v>
      </c>
      <c r="K303" s="93">
        <f t="shared" si="45"/>
        <v>70</v>
      </c>
      <c r="L303" s="93">
        <f t="shared" si="46"/>
        <v>19.756666666666668</v>
      </c>
      <c r="M303" s="93">
        <f t="shared" si="47"/>
        <v>50.243333333333332</v>
      </c>
      <c r="N303" s="93">
        <v>62.64</v>
      </c>
      <c r="O303" s="93">
        <f t="shared" si="48"/>
        <v>19.756666666666668</v>
      </c>
      <c r="P303" s="93">
        <f t="shared" si="49"/>
        <v>42.883333333333333</v>
      </c>
      <c r="Q303" s="93"/>
      <c r="R303" s="93">
        <v>84.94</v>
      </c>
      <c r="S303" s="93">
        <f t="shared" si="50"/>
        <v>19.756666666666668</v>
      </c>
      <c r="T303" s="93">
        <f t="shared" si="51"/>
        <v>65.183333333333337</v>
      </c>
      <c r="U303" s="93">
        <v>72.040000000000006</v>
      </c>
      <c r="V303" s="94">
        <v>1.64</v>
      </c>
      <c r="W303" s="93">
        <f t="shared" si="52"/>
        <v>50.643333333333338</v>
      </c>
      <c r="X303" s="93" t="s">
        <v>658</v>
      </c>
      <c r="Y303" s="90"/>
    </row>
    <row r="304" spans="1:25" s="95" customFormat="1" ht="30" hidden="1" x14ac:dyDescent="0.25">
      <c r="A304" s="17" t="s">
        <v>303</v>
      </c>
      <c r="B304" s="90" t="s">
        <v>31</v>
      </c>
      <c r="C304" s="90" t="s">
        <v>37</v>
      </c>
      <c r="D304" s="90" t="s">
        <v>449</v>
      </c>
      <c r="E304" s="91">
        <v>45889</v>
      </c>
      <c r="F304" s="90">
        <v>1</v>
      </c>
      <c r="G304" s="92" t="s">
        <v>62</v>
      </c>
      <c r="H304" s="92" t="s">
        <v>85</v>
      </c>
      <c r="I304" s="90">
        <v>73</v>
      </c>
      <c r="J304" s="90" t="s">
        <v>369</v>
      </c>
      <c r="K304" s="93">
        <f t="shared" si="45"/>
        <v>73</v>
      </c>
      <c r="L304" s="93">
        <f t="shared" si="46"/>
        <v>19.756666666666668</v>
      </c>
      <c r="M304" s="93">
        <f t="shared" si="47"/>
        <v>53.243333333333332</v>
      </c>
      <c r="N304" s="93">
        <v>63.63</v>
      </c>
      <c r="O304" s="93">
        <f t="shared" si="48"/>
        <v>19.756666666666668</v>
      </c>
      <c r="P304" s="93">
        <f t="shared" si="49"/>
        <v>43.873333333333335</v>
      </c>
      <c r="Q304" s="93"/>
      <c r="R304" s="93">
        <v>105.19</v>
      </c>
      <c r="S304" s="93">
        <f t="shared" si="50"/>
        <v>19.756666666666668</v>
      </c>
      <c r="T304" s="93">
        <f t="shared" si="51"/>
        <v>85.433333333333337</v>
      </c>
      <c r="U304" s="93">
        <v>71.290000000000006</v>
      </c>
      <c r="V304" s="94">
        <v>1.56</v>
      </c>
      <c r="W304" s="93">
        <f t="shared" si="52"/>
        <v>49.973333333333336</v>
      </c>
      <c r="X304" s="93" t="s">
        <v>658</v>
      </c>
      <c r="Y304" s="90"/>
    </row>
    <row r="305" spans="1:25" s="95" customFormat="1" ht="30" hidden="1" x14ac:dyDescent="0.25">
      <c r="A305" s="17" t="s">
        <v>303</v>
      </c>
      <c r="B305" s="90" t="s">
        <v>31</v>
      </c>
      <c r="C305" s="90" t="s">
        <v>36</v>
      </c>
      <c r="D305" s="90" t="s">
        <v>448</v>
      </c>
      <c r="E305" s="91">
        <v>45889</v>
      </c>
      <c r="F305" s="90">
        <v>1</v>
      </c>
      <c r="G305" s="92" t="s">
        <v>61</v>
      </c>
      <c r="H305" s="92" t="s">
        <v>85</v>
      </c>
      <c r="I305" s="90">
        <v>61</v>
      </c>
      <c r="J305" s="90" t="s">
        <v>369</v>
      </c>
      <c r="K305" s="93">
        <f t="shared" si="45"/>
        <v>61</v>
      </c>
      <c r="L305" s="93">
        <f t="shared" si="46"/>
        <v>19.756666666666668</v>
      </c>
      <c r="M305" s="93">
        <f t="shared" si="47"/>
        <v>41.243333333333332</v>
      </c>
      <c r="N305" s="93">
        <v>56.35</v>
      </c>
      <c r="O305" s="93">
        <f t="shared" si="48"/>
        <v>19.756666666666668</v>
      </c>
      <c r="P305" s="93">
        <f t="shared" si="49"/>
        <v>36.593333333333334</v>
      </c>
      <c r="Q305" s="93"/>
      <c r="R305" s="93">
        <v>91.56</v>
      </c>
      <c r="S305" s="93">
        <f t="shared" si="50"/>
        <v>19.756666666666668</v>
      </c>
      <c r="T305" s="93">
        <f t="shared" si="51"/>
        <v>71.803333333333342</v>
      </c>
      <c r="U305" s="93">
        <v>70.25</v>
      </c>
      <c r="V305" s="94">
        <v>1.58</v>
      </c>
      <c r="W305" s="93">
        <f t="shared" si="52"/>
        <v>48.913333333333334</v>
      </c>
      <c r="X305" s="93" t="s">
        <v>658</v>
      </c>
      <c r="Y305" s="90"/>
    </row>
    <row r="306" spans="1:25" s="95" customFormat="1" hidden="1" x14ac:dyDescent="0.25">
      <c r="A306" s="17" t="s">
        <v>303</v>
      </c>
      <c r="B306" s="90" t="s">
        <v>30</v>
      </c>
      <c r="C306" s="90" t="s">
        <v>34</v>
      </c>
      <c r="D306" s="90" t="s">
        <v>435</v>
      </c>
      <c r="E306" s="91">
        <v>45889</v>
      </c>
      <c r="F306" s="90">
        <v>1</v>
      </c>
      <c r="G306" s="92" t="s">
        <v>59</v>
      </c>
      <c r="H306" s="92" t="s">
        <v>85</v>
      </c>
      <c r="I306" s="90">
        <v>96</v>
      </c>
      <c r="J306" s="90" t="s">
        <v>354</v>
      </c>
      <c r="K306" s="93">
        <f t="shared" si="45"/>
        <v>96</v>
      </c>
      <c r="L306" s="93">
        <f t="shared" si="46"/>
        <v>19.756666666666668</v>
      </c>
      <c r="M306" s="93">
        <f t="shared" si="47"/>
        <v>76.243333333333339</v>
      </c>
      <c r="N306" s="93">
        <v>87.92</v>
      </c>
      <c r="O306" s="93">
        <f t="shared" si="48"/>
        <v>19.756666666666668</v>
      </c>
      <c r="P306" s="93">
        <f t="shared" si="49"/>
        <v>68.163333333333327</v>
      </c>
      <c r="Q306" s="93"/>
      <c r="R306" s="93">
        <v>110.24</v>
      </c>
      <c r="S306" s="93">
        <f t="shared" si="50"/>
        <v>19.756666666666668</v>
      </c>
      <c r="T306" s="93">
        <f t="shared" si="51"/>
        <v>90.48333333333332</v>
      </c>
      <c r="U306" s="93">
        <v>70.290000000000006</v>
      </c>
      <c r="V306" s="94">
        <v>1.64</v>
      </c>
      <c r="W306" s="93">
        <f t="shared" si="52"/>
        <v>48.893333333333338</v>
      </c>
      <c r="X306" s="93" t="s">
        <v>658</v>
      </c>
      <c r="Y306" s="90"/>
    </row>
    <row r="307" spans="1:25" s="95" customFormat="1" hidden="1" x14ac:dyDescent="0.25">
      <c r="A307" s="17" t="s">
        <v>303</v>
      </c>
      <c r="B307" s="90" t="s">
        <v>30</v>
      </c>
      <c r="C307" s="90" t="s">
        <v>35</v>
      </c>
      <c r="D307" s="90" t="s">
        <v>436</v>
      </c>
      <c r="E307" s="91">
        <v>45889</v>
      </c>
      <c r="F307" s="90">
        <v>1</v>
      </c>
      <c r="G307" s="92" t="s">
        <v>60</v>
      </c>
      <c r="H307" s="92" t="s">
        <v>85</v>
      </c>
      <c r="I307" s="90">
        <v>80</v>
      </c>
      <c r="J307" s="90" t="s">
        <v>355</v>
      </c>
      <c r="K307" s="93">
        <f t="shared" si="45"/>
        <v>80</v>
      </c>
      <c r="L307" s="93">
        <f t="shared" si="46"/>
        <v>19.756666666666668</v>
      </c>
      <c r="M307" s="93">
        <f t="shared" si="47"/>
        <v>60.243333333333332</v>
      </c>
      <c r="N307" s="93">
        <v>73.989999999999995</v>
      </c>
      <c r="O307" s="93">
        <f t="shared" si="48"/>
        <v>19.756666666666668</v>
      </c>
      <c r="P307" s="93">
        <f t="shared" si="49"/>
        <v>54.233333333333327</v>
      </c>
      <c r="Q307" s="93"/>
      <c r="R307" s="93">
        <v>101.35</v>
      </c>
      <c r="S307" s="93">
        <f t="shared" si="50"/>
        <v>19.756666666666668</v>
      </c>
      <c r="T307" s="93">
        <f t="shared" si="51"/>
        <v>81.593333333333334</v>
      </c>
      <c r="U307" s="93">
        <v>68.72</v>
      </c>
      <c r="V307" s="94">
        <v>1.63</v>
      </c>
      <c r="W307" s="93">
        <f t="shared" si="52"/>
        <v>47.333333333333329</v>
      </c>
      <c r="X307" s="93" t="s">
        <v>658</v>
      </c>
      <c r="Y307" s="90"/>
    </row>
    <row r="308" spans="1:25" s="95" customFormat="1" x14ac:dyDescent="0.25">
      <c r="A308" s="17" t="s">
        <v>303</v>
      </c>
      <c r="B308" s="90" t="s">
        <v>27</v>
      </c>
      <c r="C308" s="90" t="s">
        <v>39</v>
      </c>
      <c r="D308" s="90" t="s">
        <v>407</v>
      </c>
      <c r="E308" s="91">
        <v>45889</v>
      </c>
      <c r="F308" s="90">
        <v>1</v>
      </c>
      <c r="G308" s="92" t="s">
        <v>64</v>
      </c>
      <c r="H308" s="92" t="s">
        <v>85</v>
      </c>
      <c r="I308" s="90">
        <v>37</v>
      </c>
      <c r="J308" s="90" t="s">
        <v>314</v>
      </c>
      <c r="K308" s="93">
        <f t="shared" si="45"/>
        <v>37</v>
      </c>
      <c r="L308" s="93">
        <f t="shared" si="46"/>
        <v>19.756666666666668</v>
      </c>
      <c r="M308" s="93">
        <f t="shared" si="47"/>
        <v>17.243333333333332</v>
      </c>
      <c r="N308" s="93">
        <v>36.14</v>
      </c>
      <c r="O308" s="93">
        <f t="shared" si="48"/>
        <v>19.756666666666668</v>
      </c>
      <c r="P308" s="93">
        <f t="shared" si="49"/>
        <v>16.383333333333333</v>
      </c>
      <c r="Q308" s="93"/>
      <c r="R308" s="93">
        <v>67.69</v>
      </c>
      <c r="S308" s="93">
        <f t="shared" si="50"/>
        <v>19.756666666666668</v>
      </c>
      <c r="T308" s="93">
        <f t="shared" si="51"/>
        <v>47.93333333333333</v>
      </c>
      <c r="U308" s="93">
        <v>63.2</v>
      </c>
      <c r="V308" s="94">
        <v>1.53</v>
      </c>
      <c r="W308" s="93">
        <f t="shared" si="52"/>
        <v>41.913333333333334</v>
      </c>
      <c r="X308" s="93" t="s">
        <v>658</v>
      </c>
      <c r="Y308" s="90"/>
    </row>
    <row r="309" spans="1:25" s="95" customFormat="1" x14ac:dyDescent="0.25">
      <c r="A309" s="17" t="s">
        <v>303</v>
      </c>
      <c r="B309" s="90" t="s">
        <v>27</v>
      </c>
      <c r="C309" s="90" t="s">
        <v>40</v>
      </c>
      <c r="D309" s="90" t="s">
        <v>408</v>
      </c>
      <c r="E309" s="91">
        <v>45889</v>
      </c>
      <c r="F309" s="90">
        <v>1</v>
      </c>
      <c r="G309" s="92" t="s">
        <v>65</v>
      </c>
      <c r="H309" s="92" t="s">
        <v>74</v>
      </c>
      <c r="I309" s="90">
        <v>41</v>
      </c>
      <c r="J309" s="90" t="s">
        <v>315</v>
      </c>
      <c r="K309" s="93">
        <f t="shared" si="45"/>
        <v>41</v>
      </c>
      <c r="L309" s="93">
        <f t="shared" si="46"/>
        <v>19.756666666666668</v>
      </c>
      <c r="M309" s="93">
        <f t="shared" si="47"/>
        <v>21.243333333333332</v>
      </c>
      <c r="N309" s="93">
        <v>39.44</v>
      </c>
      <c r="O309" s="93">
        <f t="shared" si="48"/>
        <v>19.756666666666668</v>
      </c>
      <c r="P309" s="93">
        <f t="shared" si="49"/>
        <v>19.68333333333333</v>
      </c>
      <c r="Q309" s="93"/>
      <c r="R309" s="93">
        <v>65.34</v>
      </c>
      <c r="S309" s="93">
        <f t="shared" si="50"/>
        <v>19.756666666666668</v>
      </c>
      <c r="T309" s="93">
        <f t="shared" si="51"/>
        <v>45.583333333333336</v>
      </c>
      <c r="U309" s="93">
        <v>61.71</v>
      </c>
      <c r="V309" s="94">
        <v>1.5</v>
      </c>
      <c r="W309" s="93">
        <f t="shared" si="52"/>
        <v>40.453333333333333</v>
      </c>
      <c r="X309" s="93" t="s">
        <v>658</v>
      </c>
      <c r="Y309" s="90"/>
    </row>
    <row r="310" spans="1:25" s="95" customFormat="1" hidden="1" x14ac:dyDescent="0.25">
      <c r="A310" s="17" t="s">
        <v>303</v>
      </c>
      <c r="B310" s="90" t="s">
        <v>30</v>
      </c>
      <c r="C310" s="90" t="s">
        <v>41</v>
      </c>
      <c r="D310" s="90" t="s">
        <v>442</v>
      </c>
      <c r="E310" s="91">
        <v>45889</v>
      </c>
      <c r="F310" s="90">
        <v>1</v>
      </c>
      <c r="G310" s="92" t="s">
        <v>66</v>
      </c>
      <c r="H310" s="92" t="s">
        <v>85</v>
      </c>
      <c r="I310" s="90">
        <v>63</v>
      </c>
      <c r="J310" s="90" t="s">
        <v>360</v>
      </c>
      <c r="K310" s="93">
        <f t="shared" si="45"/>
        <v>63</v>
      </c>
      <c r="L310" s="93">
        <f t="shared" si="46"/>
        <v>19.756666666666668</v>
      </c>
      <c r="M310" s="93">
        <f t="shared" si="47"/>
        <v>43.243333333333332</v>
      </c>
      <c r="N310" s="93">
        <v>56.24</v>
      </c>
      <c r="O310" s="93">
        <f t="shared" si="48"/>
        <v>19.756666666666668</v>
      </c>
      <c r="P310" s="93">
        <f t="shared" si="49"/>
        <v>36.483333333333334</v>
      </c>
      <c r="Q310" s="93"/>
      <c r="R310" s="93">
        <v>72.14</v>
      </c>
      <c r="S310" s="93">
        <f t="shared" si="50"/>
        <v>19.756666666666668</v>
      </c>
      <c r="T310" s="93">
        <f t="shared" si="51"/>
        <v>52.383333333333333</v>
      </c>
      <c r="U310" s="93">
        <v>61.08</v>
      </c>
      <c r="V310" s="94">
        <v>1.71</v>
      </c>
      <c r="W310" s="93">
        <f t="shared" si="52"/>
        <v>39.61333333333333</v>
      </c>
      <c r="X310" s="93" t="s">
        <v>658</v>
      </c>
      <c r="Y310" s="90"/>
    </row>
    <row r="311" spans="1:25" s="95" customFormat="1" hidden="1" x14ac:dyDescent="0.25">
      <c r="A311" s="17" t="s">
        <v>303</v>
      </c>
      <c r="B311" s="90" t="s">
        <v>30</v>
      </c>
      <c r="C311" s="90" t="s">
        <v>42</v>
      </c>
      <c r="D311" s="90" t="s">
        <v>443</v>
      </c>
      <c r="E311" s="91">
        <v>45889</v>
      </c>
      <c r="F311" s="90">
        <v>1</v>
      </c>
      <c r="G311" s="92" t="s">
        <v>67</v>
      </c>
      <c r="H311" s="92" t="s">
        <v>74</v>
      </c>
      <c r="I311" s="90">
        <v>64</v>
      </c>
      <c r="J311" s="90" t="s">
        <v>361</v>
      </c>
      <c r="K311" s="93">
        <f t="shared" si="45"/>
        <v>64</v>
      </c>
      <c r="L311" s="93">
        <f t="shared" si="46"/>
        <v>19.756666666666668</v>
      </c>
      <c r="M311" s="93">
        <f t="shared" si="47"/>
        <v>44.243333333333332</v>
      </c>
      <c r="N311" s="93">
        <v>59.9</v>
      </c>
      <c r="O311" s="93">
        <f t="shared" si="48"/>
        <v>19.756666666666668</v>
      </c>
      <c r="P311" s="93">
        <f t="shared" si="49"/>
        <v>40.143333333333331</v>
      </c>
      <c r="Q311" s="93"/>
      <c r="R311" s="93">
        <v>80.569999999999993</v>
      </c>
      <c r="S311" s="93">
        <f t="shared" si="50"/>
        <v>19.756666666666668</v>
      </c>
      <c r="T311" s="93">
        <f t="shared" si="51"/>
        <v>60.813333333333325</v>
      </c>
      <c r="U311" s="93">
        <v>60.31</v>
      </c>
      <c r="V311" s="93">
        <v>1.56</v>
      </c>
      <c r="W311" s="93">
        <f t="shared" si="52"/>
        <v>38.993333333333332</v>
      </c>
      <c r="X311" s="93" t="s">
        <v>658</v>
      </c>
      <c r="Y311" s="90"/>
    </row>
    <row r="312" spans="1:25" s="95" customFormat="1" hidden="1" x14ac:dyDescent="0.25">
      <c r="A312" s="17" t="s">
        <v>303</v>
      </c>
      <c r="B312" s="90" t="s">
        <v>31</v>
      </c>
      <c r="C312" s="90" t="s">
        <v>41</v>
      </c>
      <c r="D312" s="90" t="s">
        <v>453</v>
      </c>
      <c r="E312" s="91">
        <v>45889</v>
      </c>
      <c r="F312" s="90">
        <v>1</v>
      </c>
      <c r="G312" s="92" t="s">
        <v>66</v>
      </c>
      <c r="H312" s="92" t="s">
        <v>85</v>
      </c>
      <c r="I312" s="90">
        <v>37</v>
      </c>
      <c r="J312" s="90" t="s">
        <v>370</v>
      </c>
      <c r="K312" s="93">
        <f t="shared" si="45"/>
        <v>37</v>
      </c>
      <c r="L312" s="93">
        <f t="shared" si="46"/>
        <v>19.756666666666668</v>
      </c>
      <c r="M312" s="93">
        <f t="shared" si="47"/>
        <v>17.243333333333332</v>
      </c>
      <c r="N312" s="93">
        <v>34.08</v>
      </c>
      <c r="O312" s="93">
        <f t="shared" si="48"/>
        <v>19.756666666666668</v>
      </c>
      <c r="P312" s="93">
        <f t="shared" si="49"/>
        <v>14.323333333333331</v>
      </c>
      <c r="Q312" s="93"/>
      <c r="R312" s="93">
        <v>70.010000000000005</v>
      </c>
      <c r="S312" s="93">
        <f t="shared" si="50"/>
        <v>19.756666666666668</v>
      </c>
      <c r="T312" s="93">
        <f t="shared" si="51"/>
        <v>50.253333333333337</v>
      </c>
      <c r="U312" s="93">
        <v>57.93</v>
      </c>
      <c r="V312" s="94">
        <v>1.52</v>
      </c>
      <c r="W312" s="93">
        <f t="shared" si="52"/>
        <v>36.653333333333329</v>
      </c>
      <c r="X312" s="93" t="s">
        <v>658</v>
      </c>
      <c r="Y312" s="90"/>
    </row>
    <row r="313" spans="1:25" s="95" customFormat="1" hidden="1" x14ac:dyDescent="0.25">
      <c r="A313" s="17" t="s">
        <v>303</v>
      </c>
      <c r="B313" s="90" t="s">
        <v>31</v>
      </c>
      <c r="C313" s="90" t="s">
        <v>42</v>
      </c>
      <c r="D313" s="90" t="s">
        <v>454</v>
      </c>
      <c r="E313" s="91">
        <v>45889</v>
      </c>
      <c r="F313" s="90">
        <v>1</v>
      </c>
      <c r="G313" s="92" t="s">
        <v>67</v>
      </c>
      <c r="H313" s="92" t="s">
        <v>74</v>
      </c>
      <c r="I313" s="90">
        <v>35</v>
      </c>
      <c r="J313" s="90" t="s">
        <v>370</v>
      </c>
      <c r="K313" s="93">
        <f t="shared" si="45"/>
        <v>35</v>
      </c>
      <c r="L313" s="93">
        <f t="shared" si="46"/>
        <v>19.756666666666668</v>
      </c>
      <c r="M313" s="93">
        <f t="shared" si="47"/>
        <v>15.243333333333332</v>
      </c>
      <c r="N313" s="93">
        <v>32.19</v>
      </c>
      <c r="O313" s="93">
        <f t="shared" si="48"/>
        <v>19.756666666666668</v>
      </c>
      <c r="P313" s="93">
        <f t="shared" si="49"/>
        <v>12.43333333333333</v>
      </c>
      <c r="Q313" s="93"/>
      <c r="R313" s="93">
        <v>67.34</v>
      </c>
      <c r="S313" s="93">
        <f t="shared" si="50"/>
        <v>19.756666666666668</v>
      </c>
      <c r="T313" s="93">
        <f t="shared" si="51"/>
        <v>47.583333333333336</v>
      </c>
      <c r="U313" s="93">
        <v>56.43</v>
      </c>
      <c r="V313" s="93">
        <v>1.54</v>
      </c>
      <c r="W313" s="93">
        <f t="shared" si="52"/>
        <v>35.133333333333333</v>
      </c>
      <c r="X313" s="93" t="s">
        <v>658</v>
      </c>
      <c r="Y313" s="90" t="s">
        <v>366</v>
      </c>
    </row>
    <row r="314" spans="1:25" s="95" customFormat="1" x14ac:dyDescent="0.25">
      <c r="A314" s="17" t="s">
        <v>303</v>
      </c>
      <c r="B314" s="90" t="s">
        <v>27</v>
      </c>
      <c r="C314" s="90" t="s">
        <v>33</v>
      </c>
      <c r="D314" s="90" t="s">
        <v>401</v>
      </c>
      <c r="E314" s="91">
        <v>45889</v>
      </c>
      <c r="F314" s="90">
        <v>1</v>
      </c>
      <c r="G314" s="92" t="s">
        <v>58</v>
      </c>
      <c r="H314" s="92" t="s">
        <v>74</v>
      </c>
      <c r="I314" s="90">
        <v>52</v>
      </c>
      <c r="J314" s="90" t="s">
        <v>234</v>
      </c>
      <c r="K314" s="93">
        <f t="shared" si="45"/>
        <v>52</v>
      </c>
      <c r="L314" s="93">
        <f t="shared" si="46"/>
        <v>19.756666666666668</v>
      </c>
      <c r="M314" s="93">
        <f t="shared" si="47"/>
        <v>32.243333333333332</v>
      </c>
      <c r="N314" s="93">
        <v>49.14</v>
      </c>
      <c r="O314" s="93">
        <f t="shared" si="48"/>
        <v>19.756666666666668</v>
      </c>
      <c r="P314" s="93">
        <f t="shared" si="49"/>
        <v>29.383333333333333</v>
      </c>
      <c r="Q314" s="93"/>
      <c r="R314" s="93">
        <v>58.05</v>
      </c>
      <c r="S314" s="93">
        <f t="shared" si="50"/>
        <v>19.756666666666668</v>
      </c>
      <c r="T314" s="93">
        <f t="shared" si="51"/>
        <v>38.293333333333329</v>
      </c>
      <c r="U314" s="93">
        <v>55.9</v>
      </c>
      <c r="V314" s="94">
        <v>1.49</v>
      </c>
      <c r="W314" s="93">
        <f t="shared" si="52"/>
        <v>34.653333333333329</v>
      </c>
      <c r="X314" s="93" t="s">
        <v>658</v>
      </c>
      <c r="Y314" s="90"/>
    </row>
    <row r="315" spans="1:25" s="95" customFormat="1" x14ac:dyDescent="0.25">
      <c r="A315" s="17" t="s">
        <v>303</v>
      </c>
      <c r="B315" s="90" t="s">
        <v>27</v>
      </c>
      <c r="C315" s="90" t="s">
        <v>37</v>
      </c>
      <c r="D315" s="90" t="s">
        <v>405</v>
      </c>
      <c r="E315" s="91">
        <v>45889</v>
      </c>
      <c r="F315" s="90">
        <v>1</v>
      </c>
      <c r="G315" s="92" t="s">
        <v>62</v>
      </c>
      <c r="H315" s="92" t="s">
        <v>85</v>
      </c>
      <c r="I315" s="90">
        <v>45</v>
      </c>
      <c r="J315" s="90" t="s">
        <v>312</v>
      </c>
      <c r="K315" s="93">
        <f t="shared" si="45"/>
        <v>45</v>
      </c>
      <c r="L315" s="93">
        <f t="shared" si="46"/>
        <v>19.756666666666668</v>
      </c>
      <c r="M315" s="93">
        <f t="shared" si="47"/>
        <v>25.243333333333332</v>
      </c>
      <c r="N315" s="93">
        <v>43.52</v>
      </c>
      <c r="O315" s="93">
        <f t="shared" si="48"/>
        <v>19.756666666666668</v>
      </c>
      <c r="P315" s="93">
        <f t="shared" si="49"/>
        <v>23.763333333333335</v>
      </c>
      <c r="Q315" s="93"/>
      <c r="R315" s="93">
        <v>55.6</v>
      </c>
      <c r="S315" s="93">
        <f t="shared" si="50"/>
        <v>19.756666666666668</v>
      </c>
      <c r="T315" s="93">
        <f t="shared" si="51"/>
        <v>35.843333333333334</v>
      </c>
      <c r="U315" s="93">
        <v>51.89</v>
      </c>
      <c r="V315" s="94">
        <v>1.5</v>
      </c>
      <c r="W315" s="93">
        <f t="shared" si="52"/>
        <v>30.633333333333333</v>
      </c>
      <c r="X315" s="93" t="s">
        <v>658</v>
      </c>
      <c r="Y315" s="90"/>
    </row>
    <row r="316" spans="1:25" s="95" customFormat="1" ht="30" x14ac:dyDescent="0.25">
      <c r="A316" s="17" t="s">
        <v>303</v>
      </c>
      <c r="B316" s="90" t="s">
        <v>27</v>
      </c>
      <c r="C316" s="90" t="s">
        <v>35</v>
      </c>
      <c r="D316" s="90" t="s">
        <v>403</v>
      </c>
      <c r="E316" s="91">
        <v>45889</v>
      </c>
      <c r="F316" s="90">
        <v>1</v>
      </c>
      <c r="G316" s="92" t="s">
        <v>60</v>
      </c>
      <c r="H316" s="92" t="s">
        <v>74</v>
      </c>
      <c r="I316" s="90">
        <v>46</v>
      </c>
      <c r="J316" s="90" t="s">
        <v>311</v>
      </c>
      <c r="K316" s="93">
        <f t="shared" si="45"/>
        <v>46</v>
      </c>
      <c r="L316" s="93">
        <f t="shared" si="46"/>
        <v>19.756666666666668</v>
      </c>
      <c r="M316" s="93">
        <f t="shared" si="47"/>
        <v>26.243333333333332</v>
      </c>
      <c r="N316" s="93">
        <v>44.16</v>
      </c>
      <c r="O316" s="93">
        <f t="shared" si="48"/>
        <v>19.756666666666668</v>
      </c>
      <c r="P316" s="93">
        <f t="shared" si="49"/>
        <v>24.403333333333329</v>
      </c>
      <c r="Q316" s="93"/>
      <c r="R316" s="93">
        <v>55</v>
      </c>
      <c r="S316" s="93">
        <f t="shared" si="50"/>
        <v>19.756666666666668</v>
      </c>
      <c r="T316" s="93">
        <f t="shared" si="51"/>
        <v>35.243333333333332</v>
      </c>
      <c r="U316" s="93">
        <v>51.86</v>
      </c>
      <c r="V316" s="94">
        <v>1.54</v>
      </c>
      <c r="W316" s="93">
        <f t="shared" si="52"/>
        <v>30.563333333333333</v>
      </c>
      <c r="X316" s="93" t="s">
        <v>658</v>
      </c>
      <c r="Y316" s="90"/>
    </row>
    <row r="317" spans="1:25" s="95" customFormat="1" ht="30" x14ac:dyDescent="0.25">
      <c r="A317" s="17" t="s">
        <v>303</v>
      </c>
      <c r="B317" s="90" t="s">
        <v>27</v>
      </c>
      <c r="C317" s="90" t="s">
        <v>38</v>
      </c>
      <c r="D317" s="90" t="s">
        <v>406</v>
      </c>
      <c r="E317" s="91">
        <v>45889</v>
      </c>
      <c r="F317" s="90">
        <v>1</v>
      </c>
      <c r="G317" s="92" t="s">
        <v>63</v>
      </c>
      <c r="H317" s="92" t="s">
        <v>74</v>
      </c>
      <c r="I317" s="90">
        <v>33</v>
      </c>
      <c r="J317" s="90" t="s">
        <v>313</v>
      </c>
      <c r="K317" s="93">
        <f t="shared" si="45"/>
        <v>33</v>
      </c>
      <c r="L317" s="93">
        <f t="shared" si="46"/>
        <v>19.756666666666668</v>
      </c>
      <c r="M317" s="93">
        <f t="shared" si="47"/>
        <v>13.243333333333332</v>
      </c>
      <c r="N317" s="93">
        <v>31.83</v>
      </c>
      <c r="O317" s="93">
        <f t="shared" si="48"/>
        <v>19.756666666666668</v>
      </c>
      <c r="P317" s="93">
        <f t="shared" si="49"/>
        <v>12.073333333333331</v>
      </c>
      <c r="Q317" s="93"/>
      <c r="R317" s="93">
        <v>51.76</v>
      </c>
      <c r="S317" s="93">
        <f t="shared" si="50"/>
        <v>19.756666666666668</v>
      </c>
      <c r="T317" s="93">
        <f t="shared" si="51"/>
        <v>32.00333333333333</v>
      </c>
      <c r="U317" s="93">
        <v>50.16</v>
      </c>
      <c r="V317" s="94">
        <v>1.54</v>
      </c>
      <c r="W317" s="93">
        <f t="shared" si="52"/>
        <v>28.86333333333333</v>
      </c>
      <c r="X317" s="93" t="s">
        <v>658</v>
      </c>
      <c r="Y317" s="90"/>
    </row>
    <row r="318" spans="1:25" s="95" customFormat="1" x14ac:dyDescent="0.25">
      <c r="A318" s="17" t="s">
        <v>303</v>
      </c>
      <c r="B318" s="90" t="s">
        <v>27</v>
      </c>
      <c r="C318" s="90" t="s">
        <v>34</v>
      </c>
      <c r="D318" s="90" t="s">
        <v>402</v>
      </c>
      <c r="E318" s="91">
        <v>45889</v>
      </c>
      <c r="F318" s="90">
        <v>1</v>
      </c>
      <c r="G318" s="92" t="s">
        <v>59</v>
      </c>
      <c r="H318" s="92" t="s">
        <v>85</v>
      </c>
      <c r="I318" s="90">
        <v>48</v>
      </c>
      <c r="J318" s="90" t="s">
        <v>310</v>
      </c>
      <c r="K318" s="93">
        <f t="shared" si="45"/>
        <v>48</v>
      </c>
      <c r="L318" s="93">
        <f t="shared" si="46"/>
        <v>19.756666666666668</v>
      </c>
      <c r="M318" s="93">
        <f t="shared" si="47"/>
        <v>28.243333333333332</v>
      </c>
      <c r="N318" s="93">
        <v>46.38</v>
      </c>
      <c r="O318" s="93">
        <f t="shared" si="48"/>
        <v>19.756666666666668</v>
      </c>
      <c r="P318" s="93">
        <f t="shared" si="49"/>
        <v>26.623333333333335</v>
      </c>
      <c r="Q318" s="93"/>
      <c r="R318" s="93">
        <v>50.92</v>
      </c>
      <c r="S318" s="93">
        <f t="shared" si="50"/>
        <v>19.756666666666668</v>
      </c>
      <c r="T318" s="93">
        <f t="shared" si="51"/>
        <v>31.163333333333334</v>
      </c>
      <c r="U318" s="93">
        <v>49.6</v>
      </c>
      <c r="V318" s="94">
        <v>1.51</v>
      </c>
      <c r="W318" s="93">
        <f t="shared" si="52"/>
        <v>28.333333333333332</v>
      </c>
      <c r="X318" s="93" t="s">
        <v>658</v>
      </c>
      <c r="Y318" s="90"/>
    </row>
    <row r="319" spans="1:25" s="95" customFormat="1" ht="30" x14ac:dyDescent="0.25">
      <c r="A319" s="17" t="s">
        <v>303</v>
      </c>
      <c r="B319" s="90" t="s">
        <v>27</v>
      </c>
      <c r="C319" s="90" t="s">
        <v>36</v>
      </c>
      <c r="D319" s="90" t="s">
        <v>404</v>
      </c>
      <c r="E319" s="91">
        <v>45889</v>
      </c>
      <c r="F319" s="90">
        <v>1</v>
      </c>
      <c r="G319" s="92" t="s">
        <v>61</v>
      </c>
      <c r="H319" s="92" t="s">
        <v>74</v>
      </c>
      <c r="I319" s="90">
        <v>44</v>
      </c>
      <c r="J319" s="90" t="s">
        <v>311</v>
      </c>
      <c r="K319" s="93">
        <f t="shared" si="45"/>
        <v>44</v>
      </c>
      <c r="L319" s="93">
        <f t="shared" si="46"/>
        <v>19.756666666666668</v>
      </c>
      <c r="M319" s="93">
        <f t="shared" si="47"/>
        <v>24.243333333333332</v>
      </c>
      <c r="N319" s="93">
        <v>43.2</v>
      </c>
      <c r="O319" s="93">
        <f t="shared" si="48"/>
        <v>19.756666666666668</v>
      </c>
      <c r="P319" s="93">
        <f t="shared" si="49"/>
        <v>23.443333333333335</v>
      </c>
      <c r="Q319" s="93"/>
      <c r="R319" s="93">
        <v>49.5</v>
      </c>
      <c r="S319" s="93">
        <f t="shared" si="50"/>
        <v>19.756666666666668</v>
      </c>
      <c r="T319" s="93">
        <f t="shared" si="51"/>
        <v>29.743333333333332</v>
      </c>
      <c r="U319" s="93">
        <v>48.11</v>
      </c>
      <c r="V319" s="94">
        <v>1.52</v>
      </c>
      <c r="W319" s="93">
        <f t="shared" si="52"/>
        <v>26.833333333333332</v>
      </c>
      <c r="X319" s="93" t="s">
        <v>658</v>
      </c>
      <c r="Y319" s="90"/>
    </row>
    <row r="320" spans="1:25" x14ac:dyDescent="0.25">
      <c r="A320" s="5" t="s">
        <v>25</v>
      </c>
      <c r="B320" s="9" t="s">
        <v>27</v>
      </c>
      <c r="C320" s="9" t="s">
        <v>41</v>
      </c>
      <c r="D320" s="9" t="s">
        <v>409</v>
      </c>
      <c r="E320" s="22">
        <v>45889</v>
      </c>
      <c r="F320" s="9">
        <v>1</v>
      </c>
      <c r="G320" s="10" t="s">
        <v>66</v>
      </c>
      <c r="H320" s="9" t="s">
        <v>71</v>
      </c>
      <c r="I320" s="9">
        <v>60</v>
      </c>
      <c r="J320" s="9" t="s">
        <v>238</v>
      </c>
      <c r="K320" s="38">
        <f t="shared" ref="K320:K329" si="53">I320</f>
        <v>60</v>
      </c>
      <c r="L320" s="38">
        <f t="shared" ref="L320:L329" si="54">AVERAGE(19.9,19.77,19.6)</f>
        <v>19.756666666666668</v>
      </c>
      <c r="M320" s="38">
        <f t="shared" ref="M320:M329" si="55">K320-L320</f>
        <v>40.243333333333332</v>
      </c>
      <c r="N320" s="38">
        <v>58.17</v>
      </c>
      <c r="O320" s="38">
        <f t="shared" ref="O320:O369" si="56">AVERAGE(19.9,19.77,19.6)</f>
        <v>19.756666666666668</v>
      </c>
      <c r="P320" s="38">
        <f t="shared" ref="P320:P369" si="57">N320-O320</f>
        <v>38.413333333333334</v>
      </c>
      <c r="Q320" s="38"/>
      <c r="R320" s="38">
        <v>77.02</v>
      </c>
      <c r="S320" s="38">
        <f t="shared" ref="S320:S351" si="58">O320</f>
        <v>19.756666666666668</v>
      </c>
      <c r="T320" s="38">
        <f t="shared" ref="T320:T340" si="59">R320-S320</f>
        <v>57.263333333333328</v>
      </c>
      <c r="U320" s="38">
        <v>74.7</v>
      </c>
      <c r="V320" s="62">
        <v>1.52</v>
      </c>
      <c r="W320" s="38">
        <f t="shared" ref="W320:W322" si="60">U320-S320-V320</f>
        <v>53.423333333333332</v>
      </c>
      <c r="X320" s="38" t="s">
        <v>658</v>
      </c>
      <c r="Y320" s="9"/>
    </row>
    <row r="321" spans="1:25" hidden="1" x14ac:dyDescent="0.25">
      <c r="A321" s="5" t="s">
        <v>25</v>
      </c>
      <c r="B321" s="9" t="s">
        <v>28</v>
      </c>
      <c r="C321" s="9" t="s">
        <v>41</v>
      </c>
      <c r="D321" s="9" t="s">
        <v>420</v>
      </c>
      <c r="E321" s="22">
        <v>45889</v>
      </c>
      <c r="F321" s="9">
        <v>1</v>
      </c>
      <c r="G321" s="10" t="s">
        <v>66</v>
      </c>
      <c r="H321" s="9" t="s">
        <v>74</v>
      </c>
      <c r="I321" s="9">
        <v>87</v>
      </c>
      <c r="J321" s="9" t="s">
        <v>253</v>
      </c>
      <c r="K321" s="38">
        <f t="shared" si="53"/>
        <v>87</v>
      </c>
      <c r="L321" s="38">
        <f t="shared" si="54"/>
        <v>19.756666666666668</v>
      </c>
      <c r="M321" s="38">
        <f t="shared" si="55"/>
        <v>67.243333333333339</v>
      </c>
      <c r="N321" s="38">
        <v>85.53</v>
      </c>
      <c r="O321" s="38">
        <f t="shared" si="56"/>
        <v>19.756666666666668</v>
      </c>
      <c r="P321" s="38">
        <f t="shared" si="57"/>
        <v>65.773333333333341</v>
      </c>
      <c r="Q321" s="38"/>
      <c r="R321" s="38">
        <v>118.02</v>
      </c>
      <c r="S321" s="38">
        <f t="shared" si="58"/>
        <v>19.756666666666668</v>
      </c>
      <c r="T321" s="38">
        <f t="shared" si="59"/>
        <v>98.263333333333321</v>
      </c>
      <c r="U321" s="38">
        <v>75.069999999999993</v>
      </c>
      <c r="V321" s="62">
        <v>1.54</v>
      </c>
      <c r="W321" s="38">
        <f t="shared" si="60"/>
        <v>53.773333333333326</v>
      </c>
      <c r="X321" s="38" t="s">
        <v>658</v>
      </c>
      <c r="Y321" s="9"/>
    </row>
    <row r="322" spans="1:25" hidden="1" x14ac:dyDescent="0.25">
      <c r="A322" s="5" t="s">
        <v>25</v>
      </c>
      <c r="B322" s="9" t="s">
        <v>29</v>
      </c>
      <c r="C322" s="9" t="s">
        <v>41</v>
      </c>
      <c r="D322" s="9" t="s">
        <v>431</v>
      </c>
      <c r="E322" s="22">
        <v>45889</v>
      </c>
      <c r="F322" s="9">
        <v>1</v>
      </c>
      <c r="G322" s="10" t="s">
        <v>66</v>
      </c>
      <c r="H322" s="9" t="s">
        <v>85</v>
      </c>
      <c r="I322" s="9">
        <v>54</v>
      </c>
      <c r="J322" s="9" t="s">
        <v>265</v>
      </c>
      <c r="K322" s="38">
        <f t="shared" si="53"/>
        <v>54</v>
      </c>
      <c r="L322" s="38">
        <f t="shared" si="54"/>
        <v>19.756666666666668</v>
      </c>
      <c r="M322" s="38">
        <f t="shared" si="55"/>
        <v>34.243333333333332</v>
      </c>
      <c r="N322" s="38">
        <v>51.71</v>
      </c>
      <c r="O322" s="38">
        <f t="shared" si="56"/>
        <v>19.756666666666668</v>
      </c>
      <c r="P322" s="38">
        <f t="shared" si="57"/>
        <v>31.953333333333333</v>
      </c>
      <c r="Q322" s="38"/>
      <c r="R322" s="38">
        <v>89.41</v>
      </c>
      <c r="S322" s="38">
        <f t="shared" si="58"/>
        <v>19.756666666666668</v>
      </c>
      <c r="T322" s="38">
        <f t="shared" si="59"/>
        <v>69.653333333333336</v>
      </c>
      <c r="U322" s="38">
        <v>77.59</v>
      </c>
      <c r="V322" s="62">
        <v>1.56</v>
      </c>
      <c r="W322" s="38">
        <f t="shared" si="60"/>
        <v>56.273333333333333</v>
      </c>
      <c r="X322" s="38" t="s">
        <v>658</v>
      </c>
      <c r="Y322" s="9"/>
    </row>
    <row r="323" spans="1:25" hidden="1" x14ac:dyDescent="0.25">
      <c r="A323" s="5" t="s">
        <v>25</v>
      </c>
      <c r="B323" s="9" t="s">
        <v>30</v>
      </c>
      <c r="C323" s="9" t="s">
        <v>41</v>
      </c>
      <c r="D323" s="9" t="s">
        <v>442</v>
      </c>
      <c r="E323" s="22">
        <v>45889</v>
      </c>
      <c r="F323" s="9">
        <v>1</v>
      </c>
      <c r="G323" s="10" t="s">
        <v>66</v>
      </c>
      <c r="H323" s="9" t="s">
        <v>74</v>
      </c>
      <c r="I323" s="9">
        <v>38</v>
      </c>
      <c r="J323" s="9" t="s">
        <v>281</v>
      </c>
      <c r="K323" s="38">
        <f t="shared" si="53"/>
        <v>38</v>
      </c>
      <c r="L323" s="38">
        <f t="shared" si="54"/>
        <v>19.756666666666668</v>
      </c>
      <c r="M323" s="38">
        <f t="shared" si="55"/>
        <v>18.243333333333332</v>
      </c>
      <c r="N323" s="38">
        <v>35.61</v>
      </c>
      <c r="O323" s="38">
        <f t="shared" si="56"/>
        <v>19.756666666666668</v>
      </c>
      <c r="P323" s="38">
        <f t="shared" si="57"/>
        <v>15.853333333333332</v>
      </c>
      <c r="Q323" s="38"/>
      <c r="R323" s="38">
        <v>72.14</v>
      </c>
      <c r="S323" s="38">
        <f t="shared" si="58"/>
        <v>19.756666666666668</v>
      </c>
      <c r="T323" s="38">
        <f t="shared" si="59"/>
        <v>52.383333333333333</v>
      </c>
      <c r="U323" s="38">
        <v>61.08</v>
      </c>
      <c r="V323" s="62">
        <v>1.71</v>
      </c>
      <c r="W323" s="38">
        <f t="shared" ref="W323:W386" si="61">U323-S323-V323</f>
        <v>39.61333333333333</v>
      </c>
      <c r="X323" s="38" t="s">
        <v>658</v>
      </c>
      <c r="Y323" s="9"/>
    </row>
    <row r="324" spans="1:25" ht="90" hidden="1" x14ac:dyDescent="0.25">
      <c r="A324" s="5" t="s">
        <v>25</v>
      </c>
      <c r="B324" s="9" t="s">
        <v>31</v>
      </c>
      <c r="C324" s="9" t="s">
        <v>41</v>
      </c>
      <c r="D324" s="9" t="s">
        <v>453</v>
      </c>
      <c r="E324" s="22">
        <v>45888</v>
      </c>
      <c r="F324" s="9">
        <v>1</v>
      </c>
      <c r="G324" s="10" t="s">
        <v>66</v>
      </c>
      <c r="H324" s="9" t="s">
        <v>116</v>
      </c>
      <c r="I324" s="9">
        <v>25</v>
      </c>
      <c r="J324" s="9" t="s">
        <v>297</v>
      </c>
      <c r="K324" s="38">
        <f t="shared" si="53"/>
        <v>25</v>
      </c>
      <c r="L324" s="38">
        <f t="shared" si="54"/>
        <v>19.756666666666668</v>
      </c>
      <c r="M324" s="38">
        <f t="shared" si="55"/>
        <v>5.2433333333333323</v>
      </c>
      <c r="N324" s="38">
        <v>55.55</v>
      </c>
      <c r="O324" s="38">
        <f t="shared" si="56"/>
        <v>19.756666666666668</v>
      </c>
      <c r="P324" s="38">
        <f t="shared" si="57"/>
        <v>35.793333333333329</v>
      </c>
      <c r="Q324" s="38"/>
      <c r="R324" s="38">
        <v>70.010000000000005</v>
      </c>
      <c r="S324" s="38">
        <f t="shared" si="58"/>
        <v>19.756666666666668</v>
      </c>
      <c r="T324" s="38">
        <f t="shared" si="59"/>
        <v>50.253333333333337</v>
      </c>
      <c r="U324" s="38">
        <v>57.93</v>
      </c>
      <c r="V324" s="62">
        <v>1.52</v>
      </c>
      <c r="W324" s="38">
        <f t="shared" si="61"/>
        <v>36.653333333333329</v>
      </c>
      <c r="X324" s="38" t="s">
        <v>658</v>
      </c>
      <c r="Y324" s="9" t="s">
        <v>390</v>
      </c>
    </row>
    <row r="325" spans="1:25" x14ac:dyDescent="0.25">
      <c r="A325" s="5" t="s">
        <v>25</v>
      </c>
      <c r="B325" s="9" t="s">
        <v>27</v>
      </c>
      <c r="C325" s="9" t="s">
        <v>40</v>
      </c>
      <c r="D325" s="9" t="s">
        <v>408</v>
      </c>
      <c r="E325" s="22">
        <v>45889</v>
      </c>
      <c r="F325" s="9">
        <v>1</v>
      </c>
      <c r="G325" s="10" t="s">
        <v>65</v>
      </c>
      <c r="H325" s="9" t="s">
        <v>74</v>
      </c>
      <c r="I325" s="9">
        <v>49</v>
      </c>
      <c r="J325" s="9" t="s">
        <v>237</v>
      </c>
      <c r="K325" s="38">
        <f t="shared" si="53"/>
        <v>49</v>
      </c>
      <c r="L325" s="38">
        <f t="shared" si="54"/>
        <v>19.756666666666668</v>
      </c>
      <c r="M325" s="38">
        <f t="shared" si="55"/>
        <v>29.243333333333332</v>
      </c>
      <c r="N325" s="38">
        <v>45.72</v>
      </c>
      <c r="O325" s="38">
        <f t="shared" si="56"/>
        <v>19.756666666666668</v>
      </c>
      <c r="P325" s="38">
        <f t="shared" si="57"/>
        <v>25.963333333333331</v>
      </c>
      <c r="Q325" s="38"/>
      <c r="R325" s="38">
        <v>65.34</v>
      </c>
      <c r="S325" s="38">
        <f t="shared" si="58"/>
        <v>19.756666666666668</v>
      </c>
      <c r="T325" s="38">
        <f t="shared" si="59"/>
        <v>45.583333333333336</v>
      </c>
      <c r="U325" s="38">
        <v>61.71</v>
      </c>
      <c r="V325" s="62">
        <v>1.5</v>
      </c>
      <c r="W325" s="38">
        <f t="shared" si="61"/>
        <v>40.453333333333333</v>
      </c>
      <c r="X325" s="38" t="s">
        <v>658</v>
      </c>
      <c r="Y325" s="9"/>
    </row>
    <row r="326" spans="1:25" hidden="1" x14ac:dyDescent="0.25">
      <c r="A326" s="5" t="s">
        <v>25</v>
      </c>
      <c r="B326" s="9" t="s">
        <v>28</v>
      </c>
      <c r="C326" s="9" t="s">
        <v>40</v>
      </c>
      <c r="D326" s="9" t="s">
        <v>419</v>
      </c>
      <c r="E326" s="22">
        <v>45889</v>
      </c>
      <c r="F326" s="9">
        <v>1</v>
      </c>
      <c r="G326" s="10" t="s">
        <v>65</v>
      </c>
      <c r="H326" s="9" t="s">
        <v>74</v>
      </c>
      <c r="I326" s="9">
        <v>67</v>
      </c>
      <c r="J326" s="9" t="s">
        <v>252</v>
      </c>
      <c r="K326" s="38">
        <f t="shared" si="53"/>
        <v>67</v>
      </c>
      <c r="L326" s="38">
        <f t="shared" si="54"/>
        <v>19.756666666666668</v>
      </c>
      <c r="M326" s="38">
        <f t="shared" si="55"/>
        <v>47.243333333333332</v>
      </c>
      <c r="N326" s="38">
        <v>64.44</v>
      </c>
      <c r="O326" s="38">
        <f t="shared" si="56"/>
        <v>19.756666666666668</v>
      </c>
      <c r="P326" s="38">
        <f t="shared" si="57"/>
        <v>44.68333333333333</v>
      </c>
      <c r="Q326" s="38"/>
      <c r="R326" s="38">
        <v>112.14</v>
      </c>
      <c r="S326" s="38">
        <f t="shared" si="58"/>
        <v>19.756666666666668</v>
      </c>
      <c r="T326" s="38">
        <f t="shared" si="59"/>
        <v>92.383333333333326</v>
      </c>
      <c r="U326" s="38">
        <v>101.81</v>
      </c>
      <c r="V326" s="62">
        <v>1.57</v>
      </c>
      <c r="W326" s="38">
        <f t="shared" si="61"/>
        <v>80.483333333333348</v>
      </c>
      <c r="X326" s="38" t="s">
        <v>658</v>
      </c>
      <c r="Y326" s="9"/>
    </row>
    <row r="327" spans="1:25" ht="30" hidden="1" x14ac:dyDescent="0.25">
      <c r="A327" s="5" t="s">
        <v>25</v>
      </c>
      <c r="B327" s="9" t="s">
        <v>29</v>
      </c>
      <c r="C327" s="9" t="s">
        <v>40</v>
      </c>
      <c r="D327" s="9" t="s">
        <v>430</v>
      </c>
      <c r="E327" s="22">
        <v>45889</v>
      </c>
      <c r="F327" s="9">
        <v>1</v>
      </c>
      <c r="G327" s="10" t="s">
        <v>65</v>
      </c>
      <c r="H327" s="9" t="s">
        <v>85</v>
      </c>
      <c r="I327" s="9">
        <v>69</v>
      </c>
      <c r="J327" s="9" t="s">
        <v>266</v>
      </c>
      <c r="K327" s="38">
        <f t="shared" si="53"/>
        <v>69</v>
      </c>
      <c r="L327" s="38">
        <f t="shared" si="54"/>
        <v>19.756666666666668</v>
      </c>
      <c r="M327" s="38">
        <f t="shared" si="55"/>
        <v>49.243333333333332</v>
      </c>
      <c r="N327" s="38">
        <v>66.72</v>
      </c>
      <c r="O327" s="38">
        <f t="shared" si="56"/>
        <v>19.756666666666668</v>
      </c>
      <c r="P327" s="38">
        <f t="shared" si="57"/>
        <v>46.963333333333331</v>
      </c>
      <c r="Q327" s="38"/>
      <c r="R327" s="38">
        <v>104.2</v>
      </c>
      <c r="S327" s="38">
        <f t="shared" si="58"/>
        <v>19.756666666666668</v>
      </c>
      <c r="T327" s="38">
        <f t="shared" si="59"/>
        <v>84.443333333333328</v>
      </c>
      <c r="U327" s="38">
        <v>91.54</v>
      </c>
      <c r="V327" s="62">
        <v>1.67</v>
      </c>
      <c r="W327" s="38">
        <f t="shared" si="61"/>
        <v>70.11333333333333</v>
      </c>
      <c r="X327" s="38" t="s">
        <v>658</v>
      </c>
      <c r="Y327" s="9"/>
    </row>
    <row r="328" spans="1:25" hidden="1" x14ac:dyDescent="0.25">
      <c r="A328" s="5" t="s">
        <v>25</v>
      </c>
      <c r="B328" s="9" t="s">
        <v>30</v>
      </c>
      <c r="C328" s="9" t="s">
        <v>40</v>
      </c>
      <c r="D328" s="9" t="s">
        <v>441</v>
      </c>
      <c r="E328" s="22">
        <v>45889</v>
      </c>
      <c r="F328" s="9">
        <v>1</v>
      </c>
      <c r="G328" s="10" t="s">
        <v>65</v>
      </c>
      <c r="H328" s="9" t="s">
        <v>74</v>
      </c>
      <c r="I328" s="9">
        <v>50</v>
      </c>
      <c r="J328" s="9" t="s">
        <v>281</v>
      </c>
      <c r="K328" s="38">
        <f t="shared" si="53"/>
        <v>50</v>
      </c>
      <c r="L328" s="38">
        <f t="shared" si="54"/>
        <v>19.756666666666668</v>
      </c>
      <c r="M328" s="38">
        <f t="shared" si="55"/>
        <v>30.243333333333332</v>
      </c>
      <c r="N328" s="38">
        <v>46.64</v>
      </c>
      <c r="O328" s="38">
        <f t="shared" si="56"/>
        <v>19.756666666666668</v>
      </c>
      <c r="P328" s="38">
        <f t="shared" si="57"/>
        <v>26.883333333333333</v>
      </c>
      <c r="Q328" s="38"/>
      <c r="R328" s="38">
        <v>93.14</v>
      </c>
      <c r="S328" s="38">
        <f t="shared" si="58"/>
        <v>19.756666666666668</v>
      </c>
      <c r="T328" s="38">
        <f t="shared" si="59"/>
        <v>73.383333333333326</v>
      </c>
      <c r="U328" s="38">
        <v>78.510000000000005</v>
      </c>
      <c r="V328" s="62">
        <v>1.61</v>
      </c>
      <c r="W328" s="38">
        <f t="shared" si="61"/>
        <v>57.143333333333338</v>
      </c>
      <c r="X328" s="38" t="s">
        <v>658</v>
      </c>
      <c r="Y328" s="9"/>
    </row>
    <row r="329" spans="1:25" ht="30" hidden="1" x14ac:dyDescent="0.25">
      <c r="A329" s="5" t="s">
        <v>25</v>
      </c>
      <c r="B329" s="9" t="s">
        <v>31</v>
      </c>
      <c r="C329" s="9" t="s">
        <v>40</v>
      </c>
      <c r="D329" s="9" t="s">
        <v>452</v>
      </c>
      <c r="E329" s="22">
        <v>45888</v>
      </c>
      <c r="F329" s="9">
        <v>1</v>
      </c>
      <c r="G329" s="10" t="s">
        <v>65</v>
      </c>
      <c r="H329" s="9" t="s">
        <v>116</v>
      </c>
      <c r="I329" s="9">
        <v>62</v>
      </c>
      <c r="J329" s="9" t="s">
        <v>296</v>
      </c>
      <c r="K329" s="38">
        <f t="shared" si="53"/>
        <v>62</v>
      </c>
      <c r="L329" s="38">
        <f t="shared" si="54"/>
        <v>19.756666666666668</v>
      </c>
      <c r="M329" s="38">
        <f t="shared" si="55"/>
        <v>42.243333333333332</v>
      </c>
      <c r="N329" s="38">
        <v>56.5</v>
      </c>
      <c r="O329" s="38">
        <f t="shared" si="56"/>
        <v>19.756666666666668</v>
      </c>
      <c r="P329" s="38">
        <f t="shared" si="57"/>
        <v>36.743333333333332</v>
      </c>
      <c r="Q329" s="38"/>
      <c r="R329" s="38">
        <v>98.1</v>
      </c>
      <c r="S329" s="38">
        <f t="shared" si="58"/>
        <v>19.756666666666668</v>
      </c>
      <c r="T329" s="38">
        <f t="shared" si="59"/>
        <v>78.343333333333334</v>
      </c>
      <c r="U329" s="38">
        <v>80.28</v>
      </c>
      <c r="V329" s="62">
        <v>1.55</v>
      </c>
      <c r="W329" s="38">
        <f t="shared" si="61"/>
        <v>58.973333333333336</v>
      </c>
      <c r="X329" s="38" t="s">
        <v>658</v>
      </c>
      <c r="Y329" s="9"/>
    </row>
    <row r="330" spans="1:25" x14ac:dyDescent="0.25">
      <c r="A330" s="5" t="s">
        <v>25</v>
      </c>
      <c r="B330" s="9" t="s">
        <v>27</v>
      </c>
      <c r="C330" s="9" t="s">
        <v>39</v>
      </c>
      <c r="D330" s="9" t="s">
        <v>407</v>
      </c>
      <c r="E330" s="22">
        <v>45889</v>
      </c>
      <c r="F330" s="9">
        <v>1</v>
      </c>
      <c r="G330" s="10" t="s">
        <v>64</v>
      </c>
      <c r="H330" s="9" t="s">
        <v>71</v>
      </c>
      <c r="I330" s="9">
        <v>55</v>
      </c>
      <c r="J330" s="9" t="s">
        <v>236</v>
      </c>
      <c r="K330" s="38">
        <f t="shared" ref="K330:K361" si="62">I330</f>
        <v>55</v>
      </c>
      <c r="L330" s="38">
        <f t="shared" ref="L330:L361" si="63">AVERAGE(19.9,19.77,19.6)</f>
        <v>19.756666666666668</v>
      </c>
      <c r="M330" s="38">
        <f t="shared" ref="M330:M361" si="64">K330-L330</f>
        <v>35.243333333333332</v>
      </c>
      <c r="N330" s="38">
        <v>51.4</v>
      </c>
      <c r="O330" s="38">
        <f t="shared" si="56"/>
        <v>19.756666666666668</v>
      </c>
      <c r="P330" s="38">
        <f t="shared" si="57"/>
        <v>31.643333333333331</v>
      </c>
      <c r="Q330" s="38"/>
      <c r="R330" s="38">
        <v>67.69</v>
      </c>
      <c r="S330" s="38">
        <f t="shared" si="58"/>
        <v>19.756666666666668</v>
      </c>
      <c r="T330" s="38">
        <f t="shared" si="59"/>
        <v>47.93333333333333</v>
      </c>
      <c r="U330" s="38">
        <v>63.2</v>
      </c>
      <c r="V330" s="62">
        <v>1.53</v>
      </c>
      <c r="W330" s="38">
        <f t="shared" si="61"/>
        <v>41.913333333333334</v>
      </c>
      <c r="X330" s="38" t="s">
        <v>658</v>
      </c>
      <c r="Y330" s="9"/>
    </row>
    <row r="331" spans="1:25" hidden="1" x14ac:dyDescent="0.25">
      <c r="A331" s="5" t="s">
        <v>25</v>
      </c>
      <c r="B331" s="9" t="s">
        <v>28</v>
      </c>
      <c r="C331" s="9" t="s">
        <v>39</v>
      </c>
      <c r="D331" s="9" t="s">
        <v>418</v>
      </c>
      <c r="E331" s="22">
        <v>45889</v>
      </c>
      <c r="F331" s="9">
        <v>1</v>
      </c>
      <c r="G331" s="10" t="s">
        <v>64</v>
      </c>
      <c r="H331" s="9" t="s">
        <v>74</v>
      </c>
      <c r="I331" s="9">
        <v>57</v>
      </c>
      <c r="J331" s="9" t="s">
        <v>251</v>
      </c>
      <c r="K331" s="38">
        <f t="shared" si="62"/>
        <v>57</v>
      </c>
      <c r="L331" s="38">
        <f t="shared" si="63"/>
        <v>19.756666666666668</v>
      </c>
      <c r="M331" s="38">
        <f t="shared" si="64"/>
        <v>37.243333333333332</v>
      </c>
      <c r="N331" s="38">
        <v>54.29</v>
      </c>
      <c r="O331" s="38">
        <f t="shared" si="56"/>
        <v>19.756666666666668</v>
      </c>
      <c r="P331" s="38">
        <f t="shared" si="57"/>
        <v>34.533333333333331</v>
      </c>
      <c r="Q331" s="38"/>
      <c r="R331" s="38">
        <v>98.77</v>
      </c>
      <c r="S331" s="38">
        <f t="shared" si="58"/>
        <v>19.756666666666668</v>
      </c>
      <c r="T331" s="38">
        <f t="shared" si="59"/>
        <v>79.013333333333321</v>
      </c>
      <c r="U331" s="38">
        <v>92.58</v>
      </c>
      <c r="V331" s="62">
        <v>1.68</v>
      </c>
      <c r="W331" s="38">
        <f t="shared" si="61"/>
        <v>71.143333333333317</v>
      </c>
      <c r="X331" s="38" t="s">
        <v>658</v>
      </c>
      <c r="Y331" s="9"/>
    </row>
    <row r="332" spans="1:25" ht="30" hidden="1" x14ac:dyDescent="0.25">
      <c r="A332" s="5" t="s">
        <v>25</v>
      </c>
      <c r="B332" s="9" t="s">
        <v>29</v>
      </c>
      <c r="C332" s="9" t="s">
        <v>39</v>
      </c>
      <c r="D332" s="9" t="s">
        <v>429</v>
      </c>
      <c r="E332" s="22">
        <v>45889</v>
      </c>
      <c r="F332" s="9">
        <v>1</v>
      </c>
      <c r="G332" s="10" t="s">
        <v>64</v>
      </c>
      <c r="H332" s="9" t="s">
        <v>85</v>
      </c>
      <c r="I332" s="9">
        <v>59</v>
      </c>
      <c r="J332" s="9" t="s">
        <v>266</v>
      </c>
      <c r="K332" s="38">
        <f t="shared" si="62"/>
        <v>59</v>
      </c>
      <c r="L332" s="38">
        <f t="shared" si="63"/>
        <v>19.756666666666668</v>
      </c>
      <c r="M332" s="38">
        <f t="shared" si="64"/>
        <v>39.243333333333332</v>
      </c>
      <c r="N332" s="38">
        <v>57.2</v>
      </c>
      <c r="O332" s="38">
        <f t="shared" si="56"/>
        <v>19.756666666666668</v>
      </c>
      <c r="P332" s="38">
        <f t="shared" si="57"/>
        <v>37.443333333333335</v>
      </c>
      <c r="Q332" s="38"/>
      <c r="R332" s="38">
        <v>132.47999999999999</v>
      </c>
      <c r="S332" s="38">
        <f t="shared" si="58"/>
        <v>19.756666666666668</v>
      </c>
      <c r="T332" s="38">
        <f t="shared" si="59"/>
        <v>112.72333333333333</v>
      </c>
      <c r="U332" s="38">
        <v>94.28</v>
      </c>
      <c r="V332" s="62">
        <v>1.51</v>
      </c>
      <c r="W332" s="38">
        <f t="shared" si="61"/>
        <v>73.013333333333335</v>
      </c>
      <c r="X332" s="38" t="s">
        <v>658</v>
      </c>
      <c r="Y332" s="9"/>
    </row>
    <row r="333" spans="1:25" hidden="1" x14ac:dyDescent="0.25">
      <c r="A333" s="5" t="s">
        <v>25</v>
      </c>
      <c r="B333" s="9" t="s">
        <v>30</v>
      </c>
      <c r="C333" s="9" t="s">
        <v>39</v>
      </c>
      <c r="D333" s="9" t="s">
        <v>440</v>
      </c>
      <c r="E333" s="22">
        <v>45889</v>
      </c>
      <c r="F333" s="9">
        <v>1</v>
      </c>
      <c r="G333" s="10" t="s">
        <v>64</v>
      </c>
      <c r="H333" s="9" t="s">
        <v>74</v>
      </c>
      <c r="I333" s="9">
        <v>46</v>
      </c>
      <c r="J333" s="9" t="s">
        <v>281</v>
      </c>
      <c r="K333" s="38">
        <f t="shared" si="62"/>
        <v>46</v>
      </c>
      <c r="L333" s="38">
        <f t="shared" si="63"/>
        <v>19.756666666666668</v>
      </c>
      <c r="M333" s="38">
        <f t="shared" si="64"/>
        <v>26.243333333333332</v>
      </c>
      <c r="N333" s="38">
        <v>42.38</v>
      </c>
      <c r="O333" s="38">
        <f t="shared" si="56"/>
        <v>19.756666666666668</v>
      </c>
      <c r="P333" s="38">
        <f t="shared" si="57"/>
        <v>22.623333333333335</v>
      </c>
      <c r="Q333" s="38"/>
      <c r="R333" s="38">
        <v>84.94</v>
      </c>
      <c r="S333" s="38">
        <f t="shared" si="58"/>
        <v>19.756666666666668</v>
      </c>
      <c r="T333" s="38">
        <f t="shared" si="59"/>
        <v>65.183333333333337</v>
      </c>
      <c r="U333" s="38">
        <v>72.040000000000006</v>
      </c>
      <c r="V333" s="62">
        <v>1.64</v>
      </c>
      <c r="W333" s="38">
        <f t="shared" si="61"/>
        <v>50.643333333333338</v>
      </c>
      <c r="X333" s="38" t="s">
        <v>658</v>
      </c>
      <c r="Y333" s="9"/>
    </row>
    <row r="334" spans="1:25" hidden="1" x14ac:dyDescent="0.25">
      <c r="A334" s="5" t="s">
        <v>25</v>
      </c>
      <c r="B334" s="9" t="s">
        <v>31</v>
      </c>
      <c r="C334" s="9" t="s">
        <v>39</v>
      </c>
      <c r="D334" s="9" t="s">
        <v>451</v>
      </c>
      <c r="E334" s="22">
        <v>45888</v>
      </c>
      <c r="F334" s="9">
        <v>1</v>
      </c>
      <c r="G334" s="10" t="s">
        <v>64</v>
      </c>
      <c r="H334" s="9" t="s">
        <v>116</v>
      </c>
      <c r="I334" s="9">
        <v>67</v>
      </c>
      <c r="J334" s="9" t="s">
        <v>295</v>
      </c>
      <c r="K334" s="38">
        <f t="shared" si="62"/>
        <v>67</v>
      </c>
      <c r="L334" s="38">
        <f t="shared" si="63"/>
        <v>19.756666666666668</v>
      </c>
      <c r="M334" s="38">
        <f t="shared" si="64"/>
        <v>47.243333333333332</v>
      </c>
      <c r="N334" s="38">
        <v>59.33</v>
      </c>
      <c r="O334" s="38">
        <f t="shared" si="56"/>
        <v>19.756666666666668</v>
      </c>
      <c r="P334" s="38">
        <f t="shared" si="57"/>
        <v>39.573333333333331</v>
      </c>
      <c r="Q334" s="38"/>
      <c r="R334" s="38">
        <v>100.04</v>
      </c>
      <c r="S334" s="38">
        <f t="shared" si="58"/>
        <v>19.756666666666668</v>
      </c>
      <c r="T334" s="38">
        <f t="shared" si="59"/>
        <v>80.283333333333331</v>
      </c>
      <c r="U334" s="38">
        <v>79.61</v>
      </c>
      <c r="V334" s="62">
        <v>1.52</v>
      </c>
      <c r="W334" s="38">
        <f t="shared" si="61"/>
        <v>58.333333333333329</v>
      </c>
      <c r="X334" s="38" t="s">
        <v>658</v>
      </c>
      <c r="Y334" s="9"/>
    </row>
    <row r="335" spans="1:25" x14ac:dyDescent="0.25">
      <c r="A335" s="5" t="s">
        <v>25</v>
      </c>
      <c r="B335" s="9" t="s">
        <v>27</v>
      </c>
      <c r="C335" s="9" t="s">
        <v>38</v>
      </c>
      <c r="D335" s="9" t="s">
        <v>406</v>
      </c>
      <c r="E335" s="22">
        <v>45889</v>
      </c>
      <c r="F335" s="9">
        <v>1</v>
      </c>
      <c r="G335" s="10" t="s">
        <v>63</v>
      </c>
      <c r="H335" s="9" t="s">
        <v>74</v>
      </c>
      <c r="I335" s="9">
        <v>41</v>
      </c>
      <c r="J335" s="9" t="s">
        <v>235</v>
      </c>
      <c r="K335" s="38">
        <f t="shared" si="62"/>
        <v>41</v>
      </c>
      <c r="L335" s="38">
        <f t="shared" si="63"/>
        <v>19.756666666666668</v>
      </c>
      <c r="M335" s="38">
        <f t="shared" si="64"/>
        <v>21.243333333333332</v>
      </c>
      <c r="N335" s="38">
        <v>39.56</v>
      </c>
      <c r="O335" s="38">
        <f t="shared" si="56"/>
        <v>19.756666666666668</v>
      </c>
      <c r="P335" s="38">
        <f t="shared" si="57"/>
        <v>19.803333333333335</v>
      </c>
      <c r="Q335" s="38"/>
      <c r="R335" s="38">
        <v>51.76</v>
      </c>
      <c r="S335" s="38">
        <f t="shared" si="58"/>
        <v>19.756666666666668</v>
      </c>
      <c r="T335" s="38">
        <f t="shared" si="59"/>
        <v>32.00333333333333</v>
      </c>
      <c r="U335" s="38">
        <v>50.16</v>
      </c>
      <c r="V335" s="62">
        <v>1.54</v>
      </c>
      <c r="W335" s="38">
        <f t="shared" si="61"/>
        <v>28.86333333333333</v>
      </c>
      <c r="X335" s="38" t="s">
        <v>658</v>
      </c>
      <c r="Y335" s="9"/>
    </row>
    <row r="336" spans="1:25" hidden="1" x14ac:dyDescent="0.25">
      <c r="A336" s="5" t="s">
        <v>25</v>
      </c>
      <c r="B336" s="9" t="s">
        <v>28</v>
      </c>
      <c r="C336" s="9" t="s">
        <v>38</v>
      </c>
      <c r="D336" s="9" t="s">
        <v>417</v>
      </c>
      <c r="E336" s="22">
        <v>45889</v>
      </c>
      <c r="F336" s="9">
        <v>1</v>
      </c>
      <c r="G336" s="10" t="s">
        <v>63</v>
      </c>
      <c r="H336" s="9" t="s">
        <v>85</v>
      </c>
      <c r="I336" s="9">
        <v>58</v>
      </c>
      <c r="J336" s="9" t="s">
        <v>251</v>
      </c>
      <c r="K336" s="38">
        <f t="shared" si="62"/>
        <v>58</v>
      </c>
      <c r="L336" s="38">
        <f t="shared" si="63"/>
        <v>19.756666666666668</v>
      </c>
      <c r="M336" s="38">
        <f t="shared" si="64"/>
        <v>38.243333333333332</v>
      </c>
      <c r="N336" s="38">
        <v>55.3</v>
      </c>
      <c r="O336" s="38">
        <f t="shared" si="56"/>
        <v>19.756666666666668</v>
      </c>
      <c r="P336" s="38">
        <f t="shared" si="57"/>
        <v>35.543333333333329</v>
      </c>
      <c r="Q336" s="38"/>
      <c r="R336" s="38">
        <v>102.98</v>
      </c>
      <c r="S336" s="38">
        <f t="shared" si="58"/>
        <v>19.756666666666668</v>
      </c>
      <c r="T336" s="38">
        <f t="shared" si="59"/>
        <v>83.223333333333329</v>
      </c>
      <c r="U336" s="38">
        <v>89.93</v>
      </c>
      <c r="V336" s="62">
        <v>1.53</v>
      </c>
      <c r="W336" s="38">
        <f t="shared" si="61"/>
        <v>68.643333333333345</v>
      </c>
      <c r="X336" s="38" t="s">
        <v>658</v>
      </c>
      <c r="Y336" s="9"/>
    </row>
    <row r="337" spans="1:25" hidden="1" x14ac:dyDescent="0.25">
      <c r="A337" s="5" t="s">
        <v>25</v>
      </c>
      <c r="B337" s="9" t="s">
        <v>29</v>
      </c>
      <c r="C337" s="9" t="s">
        <v>38</v>
      </c>
      <c r="D337" s="9" t="s">
        <v>428</v>
      </c>
      <c r="E337" s="22">
        <v>45889</v>
      </c>
      <c r="F337" s="9">
        <v>1</v>
      </c>
      <c r="G337" s="10" t="s">
        <v>63</v>
      </c>
      <c r="H337" s="9" t="s">
        <v>85</v>
      </c>
      <c r="I337" s="9">
        <v>74</v>
      </c>
      <c r="J337" s="9" t="s">
        <v>264</v>
      </c>
      <c r="K337" s="38">
        <f t="shared" si="62"/>
        <v>74</v>
      </c>
      <c r="L337" s="38">
        <f t="shared" si="63"/>
        <v>19.756666666666668</v>
      </c>
      <c r="M337" s="38">
        <f t="shared" si="64"/>
        <v>54.243333333333332</v>
      </c>
      <c r="N337" s="38">
        <v>71.95</v>
      </c>
      <c r="O337" s="38">
        <f t="shared" si="56"/>
        <v>19.756666666666668</v>
      </c>
      <c r="P337" s="38">
        <f t="shared" si="57"/>
        <v>52.193333333333335</v>
      </c>
      <c r="Q337" s="38"/>
      <c r="R337" s="38">
        <v>120.64</v>
      </c>
      <c r="S337" s="38">
        <f t="shared" si="58"/>
        <v>19.756666666666668</v>
      </c>
      <c r="T337" s="38">
        <f t="shared" si="59"/>
        <v>100.88333333333333</v>
      </c>
      <c r="U337" s="38">
        <v>100.7</v>
      </c>
      <c r="V337" s="62">
        <v>1.72</v>
      </c>
      <c r="W337" s="38">
        <f t="shared" si="61"/>
        <v>79.223333333333329</v>
      </c>
      <c r="X337" s="38" t="s">
        <v>658</v>
      </c>
      <c r="Y337" s="9"/>
    </row>
    <row r="338" spans="1:25" hidden="1" x14ac:dyDescent="0.25">
      <c r="A338" s="5" t="s">
        <v>25</v>
      </c>
      <c r="B338" s="9" t="s">
        <v>30</v>
      </c>
      <c r="C338" s="9" t="s">
        <v>38</v>
      </c>
      <c r="D338" s="9" t="s">
        <v>439</v>
      </c>
      <c r="E338" s="22">
        <v>45889</v>
      </c>
      <c r="F338" s="9">
        <v>1</v>
      </c>
      <c r="G338" s="10" t="s">
        <v>63</v>
      </c>
      <c r="H338" s="9" t="s">
        <v>74</v>
      </c>
      <c r="I338" s="9">
        <v>49</v>
      </c>
      <c r="J338" s="9" t="s">
        <v>281</v>
      </c>
      <c r="K338" s="38">
        <f t="shared" si="62"/>
        <v>49</v>
      </c>
      <c r="L338" s="38">
        <f t="shared" si="63"/>
        <v>19.756666666666668</v>
      </c>
      <c r="M338" s="38">
        <f t="shared" si="64"/>
        <v>29.243333333333332</v>
      </c>
      <c r="N338" s="38">
        <v>44.98</v>
      </c>
      <c r="O338" s="38">
        <f t="shared" si="56"/>
        <v>19.756666666666668</v>
      </c>
      <c r="P338" s="38">
        <f t="shared" si="57"/>
        <v>25.223333333333329</v>
      </c>
      <c r="Q338" s="38"/>
      <c r="R338" s="38">
        <v>106.41</v>
      </c>
      <c r="S338" s="38">
        <f t="shared" si="58"/>
        <v>19.756666666666668</v>
      </c>
      <c r="T338" s="38">
        <f t="shared" si="59"/>
        <v>86.653333333333336</v>
      </c>
      <c r="U338" s="38">
        <v>73.06</v>
      </c>
      <c r="V338" s="62">
        <v>1.57</v>
      </c>
      <c r="W338" s="38">
        <f t="shared" si="61"/>
        <v>51.733333333333334</v>
      </c>
      <c r="X338" s="38" t="s">
        <v>658</v>
      </c>
      <c r="Y338" s="9"/>
    </row>
    <row r="339" spans="1:25" hidden="1" x14ac:dyDescent="0.25">
      <c r="A339" s="5" t="s">
        <v>25</v>
      </c>
      <c r="B339" s="9" t="s">
        <v>31</v>
      </c>
      <c r="C339" s="9" t="s">
        <v>38</v>
      </c>
      <c r="D339" s="9" t="s">
        <v>450</v>
      </c>
      <c r="E339" s="22">
        <v>45888</v>
      </c>
      <c r="F339" s="9">
        <v>1</v>
      </c>
      <c r="G339" s="10" t="s">
        <v>63</v>
      </c>
      <c r="H339" s="9" t="s">
        <v>116</v>
      </c>
      <c r="I339" s="9">
        <v>62</v>
      </c>
      <c r="J339" s="9" t="s">
        <v>294</v>
      </c>
      <c r="K339" s="38">
        <f t="shared" si="62"/>
        <v>62</v>
      </c>
      <c r="L339" s="38">
        <f t="shared" si="63"/>
        <v>19.756666666666668</v>
      </c>
      <c r="M339" s="38">
        <f t="shared" si="64"/>
        <v>42.243333333333332</v>
      </c>
      <c r="N339" s="38">
        <v>57.78</v>
      </c>
      <c r="O339" s="38">
        <f t="shared" si="56"/>
        <v>19.756666666666668</v>
      </c>
      <c r="P339" s="38">
        <f t="shared" si="57"/>
        <v>38.023333333333333</v>
      </c>
      <c r="Q339" s="38"/>
      <c r="R339" s="38">
        <v>105.34</v>
      </c>
      <c r="S339" s="38">
        <f t="shared" si="58"/>
        <v>19.756666666666668</v>
      </c>
      <c r="T339" s="38">
        <f t="shared" si="59"/>
        <v>85.583333333333343</v>
      </c>
      <c r="U339" s="38">
        <v>78.739999999999995</v>
      </c>
      <c r="V339" s="62">
        <v>1.6</v>
      </c>
      <c r="W339" s="38">
        <f t="shared" si="61"/>
        <v>57.383333333333326</v>
      </c>
      <c r="X339" s="38" t="s">
        <v>658</v>
      </c>
      <c r="Y339" s="9"/>
    </row>
    <row r="340" spans="1:25" x14ac:dyDescent="0.25">
      <c r="A340" s="5" t="s">
        <v>25</v>
      </c>
      <c r="B340" s="9" t="s">
        <v>27</v>
      </c>
      <c r="C340" s="9" t="s">
        <v>37</v>
      </c>
      <c r="D340" s="9" t="s">
        <v>405</v>
      </c>
      <c r="E340" s="22">
        <v>45889</v>
      </c>
      <c r="F340" s="9">
        <v>1</v>
      </c>
      <c r="G340" s="10" t="s">
        <v>62</v>
      </c>
      <c r="H340" s="9" t="s">
        <v>85</v>
      </c>
      <c r="I340" s="9">
        <v>33</v>
      </c>
      <c r="J340" s="9" t="s">
        <v>234</v>
      </c>
      <c r="K340" s="38">
        <f t="shared" si="62"/>
        <v>33</v>
      </c>
      <c r="L340" s="38">
        <f t="shared" si="63"/>
        <v>19.756666666666668</v>
      </c>
      <c r="M340" s="38">
        <f t="shared" si="64"/>
        <v>13.243333333333332</v>
      </c>
      <c r="N340" s="38">
        <v>31.82</v>
      </c>
      <c r="O340" s="38">
        <f t="shared" si="56"/>
        <v>19.756666666666668</v>
      </c>
      <c r="P340" s="38">
        <f t="shared" si="57"/>
        <v>12.063333333333333</v>
      </c>
      <c r="Q340" s="38"/>
      <c r="R340" s="38">
        <v>55.6</v>
      </c>
      <c r="S340" s="38">
        <f t="shared" si="58"/>
        <v>19.756666666666668</v>
      </c>
      <c r="T340" s="38">
        <f t="shared" si="59"/>
        <v>35.843333333333334</v>
      </c>
      <c r="U340" s="38">
        <v>51.89</v>
      </c>
      <c r="V340" s="62">
        <v>1.5</v>
      </c>
      <c r="W340" s="38">
        <f t="shared" si="61"/>
        <v>30.633333333333333</v>
      </c>
      <c r="X340" s="38" t="s">
        <v>658</v>
      </c>
      <c r="Y340" s="9"/>
    </row>
    <row r="341" spans="1:25" hidden="1" x14ac:dyDescent="0.25">
      <c r="A341" s="5" t="s">
        <v>25</v>
      </c>
      <c r="B341" s="9" t="s">
        <v>28</v>
      </c>
      <c r="C341" s="9" t="s">
        <v>37</v>
      </c>
      <c r="D341" s="9" t="s">
        <v>416</v>
      </c>
      <c r="E341" s="22">
        <v>45889</v>
      </c>
      <c r="F341" s="9">
        <v>1</v>
      </c>
      <c r="G341" s="10" t="s">
        <v>62</v>
      </c>
      <c r="H341" s="9" t="s">
        <v>85</v>
      </c>
      <c r="I341" s="9">
        <v>54</v>
      </c>
      <c r="J341" s="9" t="s">
        <v>251</v>
      </c>
      <c r="K341" s="38">
        <f t="shared" si="62"/>
        <v>54</v>
      </c>
      <c r="L341" s="38">
        <f t="shared" si="63"/>
        <v>19.756666666666668</v>
      </c>
      <c r="M341" s="38">
        <f t="shared" si="64"/>
        <v>34.243333333333332</v>
      </c>
      <c r="N341" s="38">
        <v>52.18</v>
      </c>
      <c r="O341" s="38">
        <f t="shared" si="56"/>
        <v>19.756666666666668</v>
      </c>
      <c r="P341" s="38">
        <f t="shared" si="57"/>
        <v>32.423333333333332</v>
      </c>
      <c r="Q341" s="38"/>
      <c r="R341" s="38">
        <v>100.02</v>
      </c>
      <c r="S341" s="38">
        <f t="shared" si="58"/>
        <v>19.756666666666668</v>
      </c>
      <c r="T341" s="38">
        <f t="shared" ref="T341:T404" si="65">R341-S341</f>
        <v>80.263333333333321</v>
      </c>
      <c r="U341" s="38">
        <v>85.11</v>
      </c>
      <c r="V341" s="62">
        <v>1.55</v>
      </c>
      <c r="W341" s="38">
        <f t="shared" si="61"/>
        <v>63.803333333333327</v>
      </c>
      <c r="X341" s="38" t="s">
        <v>658</v>
      </c>
      <c r="Y341" s="9"/>
    </row>
    <row r="342" spans="1:25" hidden="1" x14ac:dyDescent="0.25">
      <c r="A342" s="5" t="s">
        <v>25</v>
      </c>
      <c r="B342" s="9" t="s">
        <v>29</v>
      </c>
      <c r="C342" s="9" t="s">
        <v>37</v>
      </c>
      <c r="D342" s="9" t="s">
        <v>427</v>
      </c>
      <c r="E342" s="22">
        <v>45889</v>
      </c>
      <c r="F342" s="9">
        <v>1</v>
      </c>
      <c r="G342" s="10" t="s">
        <v>62</v>
      </c>
      <c r="H342" s="9" t="s">
        <v>85</v>
      </c>
      <c r="I342" s="9">
        <v>63</v>
      </c>
      <c r="J342" s="9" t="s">
        <v>264</v>
      </c>
      <c r="K342" s="38">
        <f t="shared" si="62"/>
        <v>63</v>
      </c>
      <c r="L342" s="38">
        <f t="shared" si="63"/>
        <v>19.756666666666668</v>
      </c>
      <c r="M342" s="38">
        <f t="shared" si="64"/>
        <v>43.243333333333332</v>
      </c>
      <c r="N342" s="38">
        <v>61.51</v>
      </c>
      <c r="O342" s="38">
        <f t="shared" si="56"/>
        <v>19.756666666666668</v>
      </c>
      <c r="P342" s="38">
        <f t="shared" si="57"/>
        <v>41.75333333333333</v>
      </c>
      <c r="Q342" s="38"/>
      <c r="R342" s="38">
        <v>105.47</v>
      </c>
      <c r="S342" s="38">
        <f t="shared" si="58"/>
        <v>19.756666666666668</v>
      </c>
      <c r="T342" s="38">
        <f t="shared" si="65"/>
        <v>85.713333333333338</v>
      </c>
      <c r="U342" s="38">
        <v>90.32</v>
      </c>
      <c r="V342" s="62">
        <v>1.51</v>
      </c>
      <c r="W342" s="38">
        <f t="shared" si="61"/>
        <v>69.053333333333327</v>
      </c>
      <c r="X342" s="38" t="s">
        <v>658</v>
      </c>
      <c r="Y342" s="9"/>
    </row>
    <row r="343" spans="1:25" hidden="1" x14ac:dyDescent="0.25">
      <c r="A343" s="5" t="s">
        <v>25</v>
      </c>
      <c r="B343" s="9" t="s">
        <v>30</v>
      </c>
      <c r="C343" s="9" t="s">
        <v>37</v>
      </c>
      <c r="D343" s="9" t="s">
        <v>438</v>
      </c>
      <c r="E343" s="22">
        <v>45889</v>
      </c>
      <c r="F343" s="9">
        <v>1</v>
      </c>
      <c r="G343" s="10" t="s">
        <v>62</v>
      </c>
      <c r="H343" s="9" t="s">
        <v>74</v>
      </c>
      <c r="I343" s="9">
        <v>60</v>
      </c>
      <c r="J343" s="9" t="s">
        <v>280</v>
      </c>
      <c r="K343" s="38">
        <f t="shared" si="62"/>
        <v>60</v>
      </c>
      <c r="L343" s="38">
        <f t="shared" si="63"/>
        <v>19.756666666666668</v>
      </c>
      <c r="M343" s="38">
        <f t="shared" si="64"/>
        <v>40.243333333333332</v>
      </c>
      <c r="N343" s="38">
        <v>56.91</v>
      </c>
      <c r="O343" s="38">
        <f t="shared" si="56"/>
        <v>19.756666666666668</v>
      </c>
      <c r="P343" s="38">
        <f t="shared" si="57"/>
        <v>37.153333333333329</v>
      </c>
      <c r="Q343" s="38"/>
      <c r="R343" s="38">
        <v>103.07</v>
      </c>
      <c r="S343" s="38">
        <f t="shared" si="58"/>
        <v>19.756666666666668</v>
      </c>
      <c r="T343" s="38">
        <f t="shared" si="65"/>
        <v>83.313333333333333</v>
      </c>
      <c r="U343" s="38">
        <v>73.42</v>
      </c>
      <c r="V343" s="62">
        <v>1.65</v>
      </c>
      <c r="W343" s="38">
        <f t="shared" si="61"/>
        <v>52.013333333333335</v>
      </c>
      <c r="X343" s="38" t="s">
        <v>658</v>
      </c>
      <c r="Y343" s="9"/>
    </row>
    <row r="344" spans="1:25" hidden="1" x14ac:dyDescent="0.25">
      <c r="A344" s="5" t="s">
        <v>25</v>
      </c>
      <c r="B344" s="9" t="s">
        <v>31</v>
      </c>
      <c r="C344" s="9" t="s">
        <v>37</v>
      </c>
      <c r="D344" s="9" t="s">
        <v>449</v>
      </c>
      <c r="E344" s="22">
        <v>45888</v>
      </c>
      <c r="F344" s="9">
        <v>1</v>
      </c>
      <c r="G344" s="10" t="s">
        <v>62</v>
      </c>
      <c r="H344" s="9" t="s">
        <v>116</v>
      </c>
      <c r="I344" s="9">
        <v>68</v>
      </c>
      <c r="J344" s="9" t="s">
        <v>293</v>
      </c>
      <c r="K344" s="38">
        <f t="shared" si="62"/>
        <v>68</v>
      </c>
      <c r="L344" s="38">
        <f t="shared" si="63"/>
        <v>19.756666666666668</v>
      </c>
      <c r="M344" s="38">
        <f t="shared" si="64"/>
        <v>48.243333333333332</v>
      </c>
      <c r="N344" s="38">
        <v>61.55</v>
      </c>
      <c r="O344" s="38">
        <f t="shared" si="56"/>
        <v>19.756666666666668</v>
      </c>
      <c r="P344" s="38">
        <f t="shared" si="57"/>
        <v>41.793333333333329</v>
      </c>
      <c r="Q344" s="38"/>
      <c r="R344" s="38">
        <v>105.19</v>
      </c>
      <c r="S344" s="38">
        <f t="shared" si="58"/>
        <v>19.756666666666668</v>
      </c>
      <c r="T344" s="38">
        <f t="shared" si="65"/>
        <v>85.433333333333337</v>
      </c>
      <c r="U344" s="38">
        <v>71.290000000000006</v>
      </c>
      <c r="V344" s="62">
        <v>1.56</v>
      </c>
      <c r="W344" s="38">
        <f t="shared" si="61"/>
        <v>49.973333333333336</v>
      </c>
      <c r="X344" s="38" t="s">
        <v>658</v>
      </c>
      <c r="Y344" s="9"/>
    </row>
    <row r="345" spans="1:25" x14ac:dyDescent="0.25">
      <c r="A345" s="5" t="s">
        <v>25</v>
      </c>
      <c r="B345" s="9" t="s">
        <v>27</v>
      </c>
      <c r="C345" s="9" t="s">
        <v>36</v>
      </c>
      <c r="D345" s="9" t="s">
        <v>404</v>
      </c>
      <c r="E345" s="22">
        <v>45889</v>
      </c>
      <c r="F345" s="9">
        <v>1</v>
      </c>
      <c r="G345" s="10" t="s">
        <v>61</v>
      </c>
      <c r="H345" s="9" t="s">
        <v>85</v>
      </c>
      <c r="I345" s="9">
        <v>27</v>
      </c>
      <c r="J345" s="9" t="s">
        <v>233</v>
      </c>
      <c r="K345" s="38">
        <f t="shared" si="62"/>
        <v>27</v>
      </c>
      <c r="L345" s="38">
        <f t="shared" si="63"/>
        <v>19.756666666666668</v>
      </c>
      <c r="M345" s="38">
        <f t="shared" si="64"/>
        <v>7.2433333333333323</v>
      </c>
      <c r="N345" s="38">
        <v>26.3</v>
      </c>
      <c r="O345" s="38">
        <f t="shared" si="56"/>
        <v>19.756666666666668</v>
      </c>
      <c r="P345" s="38">
        <f t="shared" si="57"/>
        <v>6.543333333333333</v>
      </c>
      <c r="Q345" s="38"/>
      <c r="R345" s="38">
        <v>49.5</v>
      </c>
      <c r="S345" s="38">
        <f t="shared" si="58"/>
        <v>19.756666666666668</v>
      </c>
      <c r="T345" s="38">
        <f t="shared" si="65"/>
        <v>29.743333333333332</v>
      </c>
      <c r="U345" s="38">
        <v>48.11</v>
      </c>
      <c r="V345" s="62">
        <v>1.52</v>
      </c>
      <c r="W345" s="38">
        <f t="shared" si="61"/>
        <v>26.833333333333332</v>
      </c>
      <c r="X345" s="38" t="s">
        <v>658</v>
      </c>
      <c r="Y345" s="9"/>
    </row>
    <row r="346" spans="1:25" hidden="1" x14ac:dyDescent="0.25">
      <c r="A346" s="5" t="s">
        <v>25</v>
      </c>
      <c r="B346" s="9" t="s">
        <v>28</v>
      </c>
      <c r="C346" s="9" t="s">
        <v>36</v>
      </c>
      <c r="D346" s="9" t="s">
        <v>415</v>
      </c>
      <c r="E346" s="22">
        <v>45889</v>
      </c>
      <c r="F346" s="9">
        <v>1</v>
      </c>
      <c r="G346" s="10" t="s">
        <v>61</v>
      </c>
      <c r="H346" s="9" t="s">
        <v>85</v>
      </c>
      <c r="I346" s="9">
        <v>54</v>
      </c>
      <c r="J346" s="9" t="s">
        <v>251</v>
      </c>
      <c r="K346" s="38">
        <f t="shared" si="62"/>
        <v>54</v>
      </c>
      <c r="L346" s="38">
        <f t="shared" si="63"/>
        <v>19.756666666666668</v>
      </c>
      <c r="M346" s="38">
        <f t="shared" si="64"/>
        <v>34.243333333333332</v>
      </c>
      <c r="N346" s="38">
        <v>51.34</v>
      </c>
      <c r="O346" s="38">
        <f t="shared" si="56"/>
        <v>19.756666666666668</v>
      </c>
      <c r="P346" s="38">
        <f t="shared" si="57"/>
        <v>31.583333333333336</v>
      </c>
      <c r="Q346" s="38"/>
      <c r="R346" s="38">
        <v>119.18</v>
      </c>
      <c r="S346" s="38">
        <f t="shared" si="58"/>
        <v>19.756666666666668</v>
      </c>
      <c r="T346" s="38">
        <f t="shared" si="65"/>
        <v>99.423333333333346</v>
      </c>
      <c r="U346" s="38">
        <v>94.79</v>
      </c>
      <c r="V346" s="62">
        <v>1.55</v>
      </c>
      <c r="W346" s="38">
        <f t="shared" si="61"/>
        <v>73.483333333333334</v>
      </c>
      <c r="X346" s="38" t="s">
        <v>658</v>
      </c>
      <c r="Y346" s="9"/>
    </row>
    <row r="347" spans="1:25" hidden="1" x14ac:dyDescent="0.25">
      <c r="A347" s="5" t="s">
        <v>25</v>
      </c>
      <c r="B347" s="9" t="s">
        <v>29</v>
      </c>
      <c r="C347" s="9" t="s">
        <v>36</v>
      </c>
      <c r="D347" s="9" t="s">
        <v>426</v>
      </c>
      <c r="E347" s="22">
        <v>45889</v>
      </c>
      <c r="F347" s="9">
        <v>1</v>
      </c>
      <c r="G347" s="10" t="s">
        <v>61</v>
      </c>
      <c r="H347" s="9" t="s">
        <v>85</v>
      </c>
      <c r="I347" s="9">
        <v>65</v>
      </c>
      <c r="J347" s="9" t="s">
        <v>264</v>
      </c>
      <c r="K347" s="38">
        <f t="shared" si="62"/>
        <v>65</v>
      </c>
      <c r="L347" s="38">
        <f t="shared" si="63"/>
        <v>19.756666666666668</v>
      </c>
      <c r="M347" s="38">
        <f t="shared" si="64"/>
        <v>45.243333333333332</v>
      </c>
      <c r="N347" s="38">
        <v>62.7</v>
      </c>
      <c r="O347" s="38">
        <f t="shared" si="56"/>
        <v>19.756666666666668</v>
      </c>
      <c r="P347" s="38">
        <f t="shared" si="57"/>
        <v>42.943333333333335</v>
      </c>
      <c r="Q347" s="38"/>
      <c r="R347" s="38">
        <v>121.05</v>
      </c>
      <c r="S347" s="38">
        <f t="shared" si="58"/>
        <v>19.756666666666668</v>
      </c>
      <c r="T347" s="38">
        <f t="shared" si="65"/>
        <v>101.29333333333332</v>
      </c>
      <c r="U347" s="38">
        <v>108.52</v>
      </c>
      <c r="V347" s="62">
        <v>1.6</v>
      </c>
      <c r="W347" s="38">
        <f t="shared" si="61"/>
        <v>87.163333333333327</v>
      </c>
      <c r="X347" s="38" t="s">
        <v>658</v>
      </c>
      <c r="Y347" s="9"/>
    </row>
    <row r="348" spans="1:25" hidden="1" x14ac:dyDescent="0.25">
      <c r="A348" s="5" t="s">
        <v>25</v>
      </c>
      <c r="B348" s="9" t="s">
        <v>30</v>
      </c>
      <c r="C348" s="9" t="s">
        <v>36</v>
      </c>
      <c r="D348" s="9" t="s">
        <v>437</v>
      </c>
      <c r="E348" s="22">
        <v>45889</v>
      </c>
      <c r="F348" s="9">
        <v>1</v>
      </c>
      <c r="G348" s="10" t="s">
        <v>61</v>
      </c>
      <c r="H348" s="9" t="s">
        <v>85</v>
      </c>
      <c r="I348" s="9">
        <v>47</v>
      </c>
      <c r="J348" s="9" t="s">
        <v>279</v>
      </c>
      <c r="K348" s="38">
        <f t="shared" si="62"/>
        <v>47</v>
      </c>
      <c r="L348" s="38">
        <f t="shared" si="63"/>
        <v>19.756666666666668</v>
      </c>
      <c r="M348" s="38">
        <f t="shared" si="64"/>
        <v>27.243333333333332</v>
      </c>
      <c r="N348" s="38">
        <v>43.56</v>
      </c>
      <c r="O348" s="38">
        <f t="shared" si="56"/>
        <v>19.756666666666668</v>
      </c>
      <c r="P348" s="38">
        <f t="shared" si="57"/>
        <v>23.803333333333335</v>
      </c>
      <c r="Q348" s="38"/>
      <c r="R348" s="38">
        <v>85.62</v>
      </c>
      <c r="S348" s="38">
        <f t="shared" si="58"/>
        <v>19.756666666666668</v>
      </c>
      <c r="T348" s="38">
        <f t="shared" si="65"/>
        <v>65.863333333333344</v>
      </c>
      <c r="U348" s="38">
        <v>73.010000000000005</v>
      </c>
      <c r="V348" s="62">
        <v>1.55</v>
      </c>
      <c r="W348" s="38">
        <f t="shared" si="61"/>
        <v>51.70333333333334</v>
      </c>
      <c r="X348" s="38" t="s">
        <v>658</v>
      </c>
      <c r="Y348" s="9"/>
    </row>
    <row r="349" spans="1:25" ht="30" hidden="1" x14ac:dyDescent="0.25">
      <c r="A349" s="5" t="s">
        <v>25</v>
      </c>
      <c r="B349" s="9" t="s">
        <v>31</v>
      </c>
      <c r="C349" s="9" t="s">
        <v>36</v>
      </c>
      <c r="D349" s="9" t="s">
        <v>448</v>
      </c>
      <c r="E349" s="22">
        <v>45888</v>
      </c>
      <c r="F349" s="9">
        <v>1</v>
      </c>
      <c r="G349" s="10" t="s">
        <v>61</v>
      </c>
      <c r="H349" s="9" t="s">
        <v>116</v>
      </c>
      <c r="I349" s="9">
        <v>50</v>
      </c>
      <c r="J349" s="9" t="s">
        <v>299</v>
      </c>
      <c r="K349" s="38">
        <f t="shared" si="62"/>
        <v>50</v>
      </c>
      <c r="L349" s="38">
        <f t="shared" si="63"/>
        <v>19.756666666666668</v>
      </c>
      <c r="M349" s="38">
        <f t="shared" si="64"/>
        <v>30.243333333333332</v>
      </c>
      <c r="N349" s="38">
        <v>55.11</v>
      </c>
      <c r="O349" s="38">
        <f t="shared" si="56"/>
        <v>19.756666666666668</v>
      </c>
      <c r="P349" s="38">
        <f t="shared" si="57"/>
        <v>35.353333333333332</v>
      </c>
      <c r="Q349" s="38"/>
      <c r="R349" s="38">
        <v>91.56</v>
      </c>
      <c r="S349" s="38">
        <f t="shared" si="58"/>
        <v>19.756666666666668</v>
      </c>
      <c r="T349" s="38">
        <f t="shared" si="65"/>
        <v>71.803333333333342</v>
      </c>
      <c r="U349" s="38">
        <v>70.25</v>
      </c>
      <c r="V349" s="62">
        <v>1.58</v>
      </c>
      <c r="W349" s="38">
        <f t="shared" si="61"/>
        <v>48.913333333333334</v>
      </c>
      <c r="X349" s="38" t="s">
        <v>658</v>
      </c>
      <c r="Y349" s="9" t="s">
        <v>387</v>
      </c>
    </row>
    <row r="350" spans="1:25" ht="30" x14ac:dyDescent="0.25">
      <c r="A350" s="5" t="s">
        <v>25</v>
      </c>
      <c r="B350" s="9" t="s">
        <v>27</v>
      </c>
      <c r="C350" s="9" t="s">
        <v>35</v>
      </c>
      <c r="D350" s="9" t="s">
        <v>403</v>
      </c>
      <c r="E350" s="22">
        <v>45889</v>
      </c>
      <c r="F350" s="9">
        <v>1</v>
      </c>
      <c r="G350" s="10" t="s">
        <v>60</v>
      </c>
      <c r="H350" s="9" t="s">
        <v>85</v>
      </c>
      <c r="I350" s="9">
        <v>31</v>
      </c>
      <c r="J350" s="9" t="s">
        <v>232</v>
      </c>
      <c r="K350" s="38">
        <f t="shared" si="62"/>
        <v>31</v>
      </c>
      <c r="L350" s="38">
        <f t="shared" si="63"/>
        <v>19.756666666666668</v>
      </c>
      <c r="M350" s="38">
        <f t="shared" si="64"/>
        <v>11.243333333333332</v>
      </c>
      <c r="N350" s="38">
        <v>30.2</v>
      </c>
      <c r="O350" s="38">
        <f t="shared" si="56"/>
        <v>19.756666666666668</v>
      </c>
      <c r="P350" s="38">
        <f t="shared" si="57"/>
        <v>10.443333333333332</v>
      </c>
      <c r="Q350" s="38"/>
      <c r="R350" s="38">
        <v>55</v>
      </c>
      <c r="S350" s="38">
        <f t="shared" si="58"/>
        <v>19.756666666666668</v>
      </c>
      <c r="T350" s="38">
        <f t="shared" si="65"/>
        <v>35.243333333333332</v>
      </c>
      <c r="U350" s="38">
        <v>51.86</v>
      </c>
      <c r="V350" s="62">
        <v>1.54</v>
      </c>
      <c r="W350" s="38">
        <f t="shared" si="61"/>
        <v>30.563333333333333</v>
      </c>
      <c r="X350" s="38" t="s">
        <v>658</v>
      </c>
      <c r="Y350" s="9"/>
    </row>
    <row r="351" spans="1:25" hidden="1" x14ac:dyDescent="0.25">
      <c r="A351" s="5" t="s">
        <v>25</v>
      </c>
      <c r="B351" s="9" t="s">
        <v>28</v>
      </c>
      <c r="C351" s="9" t="s">
        <v>35</v>
      </c>
      <c r="D351" s="9" t="s">
        <v>414</v>
      </c>
      <c r="E351" s="22">
        <v>45889</v>
      </c>
      <c r="F351" s="9">
        <v>1</v>
      </c>
      <c r="G351" s="10" t="s">
        <v>60</v>
      </c>
      <c r="H351" s="9" t="s">
        <v>85</v>
      </c>
      <c r="I351" s="9">
        <v>50</v>
      </c>
      <c r="J351" s="9" t="s">
        <v>250</v>
      </c>
      <c r="K351" s="38">
        <f t="shared" si="62"/>
        <v>50</v>
      </c>
      <c r="L351" s="38">
        <f t="shared" si="63"/>
        <v>19.756666666666668</v>
      </c>
      <c r="M351" s="38">
        <f t="shared" si="64"/>
        <v>30.243333333333332</v>
      </c>
      <c r="N351" s="38">
        <v>48.72</v>
      </c>
      <c r="O351" s="38">
        <f t="shared" si="56"/>
        <v>19.756666666666668</v>
      </c>
      <c r="P351" s="38">
        <f t="shared" si="57"/>
        <v>28.963333333333331</v>
      </c>
      <c r="Q351" s="38"/>
      <c r="R351" s="38">
        <v>103.93</v>
      </c>
      <c r="S351" s="38">
        <f t="shared" si="58"/>
        <v>19.756666666666668</v>
      </c>
      <c r="T351" s="38">
        <f t="shared" si="65"/>
        <v>84.173333333333346</v>
      </c>
      <c r="U351" s="38">
        <v>90.63</v>
      </c>
      <c r="V351" s="62">
        <v>1.53</v>
      </c>
      <c r="W351" s="38">
        <f t="shared" si="61"/>
        <v>69.343333333333334</v>
      </c>
      <c r="X351" s="38" t="s">
        <v>658</v>
      </c>
      <c r="Y351" s="9"/>
    </row>
    <row r="352" spans="1:25" hidden="1" x14ac:dyDescent="0.25">
      <c r="A352" s="5" t="s">
        <v>25</v>
      </c>
      <c r="B352" s="9" t="s">
        <v>29</v>
      </c>
      <c r="C352" s="9" t="s">
        <v>35</v>
      </c>
      <c r="D352" s="9" t="s">
        <v>425</v>
      </c>
      <c r="E352" s="22">
        <v>45889</v>
      </c>
      <c r="F352" s="9">
        <v>1</v>
      </c>
      <c r="G352" s="10" t="s">
        <v>60</v>
      </c>
      <c r="H352" s="9" t="s">
        <v>85</v>
      </c>
      <c r="I352" s="9">
        <v>62</v>
      </c>
      <c r="J352" s="9" t="s">
        <v>264</v>
      </c>
      <c r="K352" s="38">
        <f t="shared" si="62"/>
        <v>62</v>
      </c>
      <c r="L352" s="38">
        <f t="shared" si="63"/>
        <v>19.756666666666668</v>
      </c>
      <c r="M352" s="38">
        <f t="shared" si="64"/>
        <v>42.243333333333332</v>
      </c>
      <c r="N352" s="38">
        <v>59.29</v>
      </c>
      <c r="O352" s="38">
        <f t="shared" si="56"/>
        <v>19.756666666666668</v>
      </c>
      <c r="P352" s="38">
        <f t="shared" si="57"/>
        <v>39.533333333333331</v>
      </c>
      <c r="Q352" s="38"/>
      <c r="R352" s="38">
        <v>99.12</v>
      </c>
      <c r="S352" s="38">
        <f t="shared" ref="S352:S369" si="66">O352</f>
        <v>19.756666666666668</v>
      </c>
      <c r="T352" s="38">
        <f t="shared" si="65"/>
        <v>79.363333333333344</v>
      </c>
      <c r="U352" s="38">
        <v>90.43</v>
      </c>
      <c r="V352" s="62">
        <v>1.5</v>
      </c>
      <c r="W352" s="38">
        <f t="shared" si="61"/>
        <v>69.173333333333346</v>
      </c>
      <c r="X352" s="38" t="s">
        <v>658</v>
      </c>
      <c r="Y352" s="9"/>
    </row>
    <row r="353" spans="1:25" hidden="1" x14ac:dyDescent="0.25">
      <c r="A353" s="5" t="s">
        <v>25</v>
      </c>
      <c r="B353" s="9" t="s">
        <v>30</v>
      </c>
      <c r="C353" s="9" t="s">
        <v>35</v>
      </c>
      <c r="D353" s="9" t="s">
        <v>436</v>
      </c>
      <c r="E353" s="22">
        <v>45889</v>
      </c>
      <c r="F353" s="9">
        <v>1</v>
      </c>
      <c r="G353" s="10" t="s">
        <v>60</v>
      </c>
      <c r="H353" s="9" t="s">
        <v>85</v>
      </c>
      <c r="I353" s="9">
        <v>49</v>
      </c>
      <c r="J353" s="9" t="s">
        <v>279</v>
      </c>
      <c r="K353" s="38">
        <f t="shared" si="62"/>
        <v>49</v>
      </c>
      <c r="L353" s="38">
        <f t="shared" si="63"/>
        <v>19.756666666666668</v>
      </c>
      <c r="M353" s="38">
        <f t="shared" si="64"/>
        <v>29.243333333333332</v>
      </c>
      <c r="N353" s="38">
        <v>47.16</v>
      </c>
      <c r="O353" s="38">
        <f t="shared" si="56"/>
        <v>19.756666666666668</v>
      </c>
      <c r="P353" s="38">
        <f t="shared" si="57"/>
        <v>27.403333333333329</v>
      </c>
      <c r="Q353" s="38"/>
      <c r="R353" s="38">
        <v>101.35</v>
      </c>
      <c r="S353" s="38">
        <f t="shared" si="66"/>
        <v>19.756666666666668</v>
      </c>
      <c r="T353" s="38">
        <f t="shared" si="65"/>
        <v>81.593333333333334</v>
      </c>
      <c r="U353" s="38">
        <v>68.72</v>
      </c>
      <c r="V353" s="62">
        <v>1.63</v>
      </c>
      <c r="W353" s="38">
        <f t="shared" si="61"/>
        <v>47.333333333333329</v>
      </c>
      <c r="X353" s="38" t="s">
        <v>658</v>
      </c>
      <c r="Y353" s="9"/>
    </row>
    <row r="354" spans="1:25" hidden="1" x14ac:dyDescent="0.25">
      <c r="A354" s="5" t="s">
        <v>25</v>
      </c>
      <c r="B354" s="9" t="s">
        <v>31</v>
      </c>
      <c r="C354" s="9" t="s">
        <v>35</v>
      </c>
      <c r="D354" s="9" t="s">
        <v>447</v>
      </c>
      <c r="E354" s="22">
        <v>45888</v>
      </c>
      <c r="F354" s="9">
        <v>1</v>
      </c>
      <c r="G354" s="10" t="s">
        <v>60</v>
      </c>
      <c r="H354" s="9" t="s">
        <v>116</v>
      </c>
      <c r="I354" s="9">
        <v>65</v>
      </c>
      <c r="J354" s="9" t="s">
        <v>300</v>
      </c>
      <c r="K354" s="38">
        <f t="shared" si="62"/>
        <v>65</v>
      </c>
      <c r="L354" s="38">
        <f t="shared" si="63"/>
        <v>19.756666666666668</v>
      </c>
      <c r="M354" s="38">
        <f t="shared" si="64"/>
        <v>45.243333333333332</v>
      </c>
      <c r="N354" s="38">
        <v>57.91</v>
      </c>
      <c r="O354" s="38">
        <f t="shared" si="56"/>
        <v>19.756666666666668</v>
      </c>
      <c r="P354" s="38">
        <f t="shared" si="57"/>
        <v>38.153333333333329</v>
      </c>
      <c r="Q354" s="38"/>
      <c r="R354" s="38">
        <v>99.67</v>
      </c>
      <c r="S354" s="38">
        <f t="shared" si="66"/>
        <v>19.756666666666668</v>
      </c>
      <c r="T354" s="38">
        <f t="shared" si="65"/>
        <v>79.913333333333327</v>
      </c>
      <c r="U354" s="38">
        <v>79.180000000000007</v>
      </c>
      <c r="V354" s="62">
        <v>1.62</v>
      </c>
      <c r="W354" s="38">
        <f t="shared" si="61"/>
        <v>57.803333333333342</v>
      </c>
      <c r="X354" s="38" t="s">
        <v>658</v>
      </c>
      <c r="Y354" s="9"/>
    </row>
    <row r="355" spans="1:25" x14ac:dyDescent="0.25">
      <c r="A355" s="5" t="s">
        <v>25</v>
      </c>
      <c r="B355" s="9" t="s">
        <v>27</v>
      </c>
      <c r="C355" s="9" t="s">
        <v>34</v>
      </c>
      <c r="D355" s="9" t="s">
        <v>402</v>
      </c>
      <c r="E355" s="22">
        <v>45889</v>
      </c>
      <c r="F355" s="9">
        <v>1</v>
      </c>
      <c r="G355" s="10" t="s">
        <v>59</v>
      </c>
      <c r="H355" s="9" t="s">
        <v>85</v>
      </c>
      <c r="I355" s="9">
        <v>25</v>
      </c>
      <c r="J355" s="9" t="s">
        <v>231</v>
      </c>
      <c r="K355" s="38">
        <f t="shared" si="62"/>
        <v>25</v>
      </c>
      <c r="L355" s="38">
        <f t="shared" si="63"/>
        <v>19.756666666666668</v>
      </c>
      <c r="M355" s="38">
        <f t="shared" si="64"/>
        <v>5.2433333333333323</v>
      </c>
      <c r="N355" s="38">
        <v>24.41</v>
      </c>
      <c r="O355" s="38">
        <f t="shared" si="56"/>
        <v>19.756666666666668</v>
      </c>
      <c r="P355" s="38">
        <f t="shared" si="57"/>
        <v>4.6533333333333324</v>
      </c>
      <c r="Q355" s="38"/>
      <c r="R355" s="38">
        <v>50.92</v>
      </c>
      <c r="S355" s="38">
        <f t="shared" si="66"/>
        <v>19.756666666666668</v>
      </c>
      <c r="T355" s="38">
        <f t="shared" si="65"/>
        <v>31.163333333333334</v>
      </c>
      <c r="U355" s="38">
        <v>49.6</v>
      </c>
      <c r="V355" s="62">
        <v>1.51</v>
      </c>
      <c r="W355" s="38">
        <f t="shared" si="61"/>
        <v>28.333333333333332</v>
      </c>
      <c r="X355" s="38" t="s">
        <v>658</v>
      </c>
      <c r="Y355" s="9"/>
    </row>
    <row r="356" spans="1:25" ht="30" hidden="1" x14ac:dyDescent="0.25">
      <c r="A356" s="5" t="s">
        <v>25</v>
      </c>
      <c r="B356" s="9" t="s">
        <v>28</v>
      </c>
      <c r="C356" s="9" t="s">
        <v>34</v>
      </c>
      <c r="D356" s="9" t="s">
        <v>413</v>
      </c>
      <c r="E356" s="22">
        <v>45889</v>
      </c>
      <c r="F356" s="9">
        <v>1</v>
      </c>
      <c r="G356" s="10" t="s">
        <v>59</v>
      </c>
      <c r="H356" s="9" t="s">
        <v>85</v>
      </c>
      <c r="I356" s="9">
        <v>75</v>
      </c>
      <c r="J356" s="9" t="s">
        <v>249</v>
      </c>
      <c r="K356" s="38">
        <f t="shared" si="62"/>
        <v>75</v>
      </c>
      <c r="L356" s="38">
        <f t="shared" si="63"/>
        <v>19.756666666666668</v>
      </c>
      <c r="M356" s="38">
        <f t="shared" si="64"/>
        <v>55.243333333333332</v>
      </c>
      <c r="N356" s="38">
        <v>71.94</v>
      </c>
      <c r="O356" s="38">
        <f t="shared" si="56"/>
        <v>19.756666666666668</v>
      </c>
      <c r="P356" s="38">
        <f t="shared" si="57"/>
        <v>52.18333333333333</v>
      </c>
      <c r="Q356" s="38"/>
      <c r="R356" s="38">
        <v>135.1</v>
      </c>
      <c r="S356" s="38">
        <f t="shared" si="66"/>
        <v>19.756666666666668</v>
      </c>
      <c r="T356" s="38">
        <f t="shared" si="65"/>
        <v>115.34333333333333</v>
      </c>
      <c r="U356" s="38">
        <v>110.79</v>
      </c>
      <c r="V356" s="62">
        <v>1.57</v>
      </c>
      <c r="W356" s="38">
        <f t="shared" si="61"/>
        <v>89.463333333333338</v>
      </c>
      <c r="X356" s="38" t="s">
        <v>658</v>
      </c>
      <c r="Y356" s="9"/>
    </row>
    <row r="357" spans="1:25" hidden="1" x14ac:dyDescent="0.25">
      <c r="A357" s="5" t="s">
        <v>25</v>
      </c>
      <c r="B357" s="9" t="s">
        <v>29</v>
      </c>
      <c r="C357" s="9" t="s">
        <v>34</v>
      </c>
      <c r="D357" s="9" t="s">
        <v>424</v>
      </c>
      <c r="E357" s="22">
        <v>45889</v>
      </c>
      <c r="F357" s="9">
        <v>1</v>
      </c>
      <c r="G357" s="10" t="s">
        <v>59</v>
      </c>
      <c r="H357" s="9" t="s">
        <v>85</v>
      </c>
      <c r="I357" s="9">
        <v>67</v>
      </c>
      <c r="J357" s="9" t="s">
        <v>264</v>
      </c>
      <c r="K357" s="38">
        <f t="shared" si="62"/>
        <v>67</v>
      </c>
      <c r="L357" s="38">
        <f t="shared" si="63"/>
        <v>19.756666666666668</v>
      </c>
      <c r="M357" s="38">
        <f t="shared" si="64"/>
        <v>47.243333333333332</v>
      </c>
      <c r="N357" s="38">
        <v>63.81</v>
      </c>
      <c r="O357" s="38">
        <f t="shared" si="56"/>
        <v>19.756666666666668</v>
      </c>
      <c r="P357" s="38">
        <f t="shared" si="57"/>
        <v>44.053333333333335</v>
      </c>
      <c r="Q357" s="38"/>
      <c r="R357" s="38">
        <v>101.75</v>
      </c>
      <c r="S357" s="38">
        <f t="shared" si="66"/>
        <v>19.756666666666668</v>
      </c>
      <c r="T357" s="38">
        <f t="shared" si="65"/>
        <v>81.993333333333339</v>
      </c>
      <c r="U357" s="38">
        <v>92.42</v>
      </c>
      <c r="V357" s="62">
        <v>1.77</v>
      </c>
      <c r="W357" s="38">
        <f t="shared" si="61"/>
        <v>70.893333333333331</v>
      </c>
      <c r="X357" s="38" t="s">
        <v>658</v>
      </c>
      <c r="Y357" s="9"/>
    </row>
    <row r="358" spans="1:25" hidden="1" x14ac:dyDescent="0.25">
      <c r="A358" s="5" t="s">
        <v>25</v>
      </c>
      <c r="B358" s="9" t="s">
        <v>30</v>
      </c>
      <c r="C358" s="9" t="s">
        <v>34</v>
      </c>
      <c r="D358" s="9" t="s">
        <v>435</v>
      </c>
      <c r="E358" s="22">
        <v>45889</v>
      </c>
      <c r="F358" s="9">
        <v>1</v>
      </c>
      <c r="G358" s="10" t="s">
        <v>59</v>
      </c>
      <c r="H358" s="9" t="s">
        <v>85</v>
      </c>
      <c r="I358" s="9">
        <v>44</v>
      </c>
      <c r="J358" s="9" t="s">
        <v>279</v>
      </c>
      <c r="K358" s="38">
        <f t="shared" si="62"/>
        <v>44</v>
      </c>
      <c r="L358" s="38">
        <f t="shared" si="63"/>
        <v>19.756666666666668</v>
      </c>
      <c r="M358" s="38">
        <f t="shared" si="64"/>
        <v>24.243333333333332</v>
      </c>
      <c r="N358" s="38">
        <v>42.3</v>
      </c>
      <c r="O358" s="38">
        <f t="shared" si="56"/>
        <v>19.756666666666668</v>
      </c>
      <c r="P358" s="38">
        <f t="shared" si="57"/>
        <v>22.543333333333329</v>
      </c>
      <c r="Q358" s="38"/>
      <c r="R358" s="38">
        <v>110.24</v>
      </c>
      <c r="S358" s="38">
        <f t="shared" si="66"/>
        <v>19.756666666666668</v>
      </c>
      <c r="T358" s="38">
        <f t="shared" si="65"/>
        <v>90.48333333333332</v>
      </c>
      <c r="U358" s="38">
        <v>70.290000000000006</v>
      </c>
      <c r="V358" s="62">
        <v>1.64</v>
      </c>
      <c r="W358" s="38">
        <f t="shared" si="61"/>
        <v>48.893333333333338</v>
      </c>
      <c r="X358" s="38" t="s">
        <v>658</v>
      </c>
      <c r="Y358" s="9"/>
    </row>
    <row r="359" spans="1:25" hidden="1" x14ac:dyDescent="0.25">
      <c r="A359" s="5" t="s">
        <v>25</v>
      </c>
      <c r="B359" s="9" t="s">
        <v>31</v>
      </c>
      <c r="C359" s="9" t="s">
        <v>34</v>
      </c>
      <c r="D359" s="9" t="s">
        <v>446</v>
      </c>
      <c r="E359" s="22">
        <v>45888</v>
      </c>
      <c r="F359" s="9">
        <v>1</v>
      </c>
      <c r="G359" s="10" t="s">
        <v>59</v>
      </c>
      <c r="H359" s="9" t="s">
        <v>85</v>
      </c>
      <c r="I359" s="9">
        <v>55</v>
      </c>
      <c r="J359" s="9" t="s">
        <v>292</v>
      </c>
      <c r="K359" s="38">
        <f t="shared" si="62"/>
        <v>55</v>
      </c>
      <c r="L359" s="38">
        <f t="shared" si="63"/>
        <v>19.756666666666668</v>
      </c>
      <c r="M359" s="38">
        <f t="shared" si="64"/>
        <v>35.243333333333332</v>
      </c>
      <c r="N359" s="38">
        <v>48.29</v>
      </c>
      <c r="O359" s="38">
        <f t="shared" si="56"/>
        <v>19.756666666666668</v>
      </c>
      <c r="P359" s="38">
        <f t="shared" si="57"/>
        <v>28.533333333333331</v>
      </c>
      <c r="Q359" s="38"/>
      <c r="R359" s="38">
        <v>100.22</v>
      </c>
      <c r="S359" s="38">
        <f t="shared" si="66"/>
        <v>19.756666666666668</v>
      </c>
      <c r="T359" s="38">
        <f t="shared" si="65"/>
        <v>80.463333333333338</v>
      </c>
      <c r="U359" s="38">
        <v>83.02</v>
      </c>
      <c r="V359" s="62">
        <v>1.61</v>
      </c>
      <c r="W359" s="38">
        <f t="shared" si="61"/>
        <v>61.653333333333329</v>
      </c>
      <c r="X359" s="38" t="s">
        <v>658</v>
      </c>
      <c r="Y359" s="9"/>
    </row>
    <row r="360" spans="1:25" ht="30" x14ac:dyDescent="0.25">
      <c r="A360" s="5" t="s">
        <v>25</v>
      </c>
      <c r="B360" s="9" t="s">
        <v>27</v>
      </c>
      <c r="C360" s="9" t="s">
        <v>33</v>
      </c>
      <c r="D360" s="9" t="s">
        <v>401</v>
      </c>
      <c r="E360" s="22">
        <v>45889</v>
      </c>
      <c r="F360" s="9">
        <v>1</v>
      </c>
      <c r="G360" s="10" t="s">
        <v>58</v>
      </c>
      <c r="H360" s="9" t="s">
        <v>74</v>
      </c>
      <c r="I360" s="9">
        <v>30</v>
      </c>
      <c r="J360" s="9" t="s">
        <v>230</v>
      </c>
      <c r="K360" s="38">
        <f t="shared" si="62"/>
        <v>30</v>
      </c>
      <c r="L360" s="38">
        <f t="shared" si="63"/>
        <v>19.756666666666668</v>
      </c>
      <c r="M360" s="38">
        <f t="shared" si="64"/>
        <v>10.243333333333332</v>
      </c>
      <c r="N360" s="38">
        <v>28.79</v>
      </c>
      <c r="O360" s="38">
        <f t="shared" si="56"/>
        <v>19.756666666666668</v>
      </c>
      <c r="P360" s="38">
        <f t="shared" si="57"/>
        <v>9.0333333333333314</v>
      </c>
      <c r="Q360" s="38"/>
      <c r="R360" s="38">
        <v>58.05</v>
      </c>
      <c r="S360" s="38">
        <f t="shared" si="66"/>
        <v>19.756666666666668</v>
      </c>
      <c r="T360" s="38">
        <f t="shared" si="65"/>
        <v>38.293333333333329</v>
      </c>
      <c r="U360" s="38">
        <v>55.9</v>
      </c>
      <c r="V360" s="62">
        <v>1.49</v>
      </c>
      <c r="W360" s="38">
        <f t="shared" si="61"/>
        <v>34.653333333333329</v>
      </c>
      <c r="X360" s="38" t="s">
        <v>658</v>
      </c>
      <c r="Y360" s="9"/>
    </row>
    <row r="361" spans="1:25" hidden="1" x14ac:dyDescent="0.25">
      <c r="A361" s="5" t="s">
        <v>25</v>
      </c>
      <c r="B361" s="9" t="s">
        <v>28</v>
      </c>
      <c r="C361" s="9" t="s">
        <v>33</v>
      </c>
      <c r="D361" s="9" t="s">
        <v>412</v>
      </c>
      <c r="E361" s="22">
        <v>45889</v>
      </c>
      <c r="F361" s="9">
        <v>1</v>
      </c>
      <c r="G361" s="10" t="s">
        <v>58</v>
      </c>
      <c r="H361" s="9" t="s">
        <v>85</v>
      </c>
      <c r="I361" s="9">
        <v>72</v>
      </c>
      <c r="J361" s="9" t="s">
        <v>248</v>
      </c>
      <c r="K361" s="38">
        <f t="shared" si="62"/>
        <v>72</v>
      </c>
      <c r="L361" s="38">
        <f t="shared" si="63"/>
        <v>19.756666666666668</v>
      </c>
      <c r="M361" s="38">
        <f t="shared" si="64"/>
        <v>52.243333333333332</v>
      </c>
      <c r="N361" s="38">
        <v>69.98</v>
      </c>
      <c r="O361" s="38">
        <f t="shared" si="56"/>
        <v>19.756666666666668</v>
      </c>
      <c r="P361" s="38">
        <f t="shared" si="57"/>
        <v>50.223333333333336</v>
      </c>
      <c r="Q361" s="38"/>
      <c r="R361" s="38">
        <v>131</v>
      </c>
      <c r="S361" s="38">
        <f t="shared" si="66"/>
        <v>19.756666666666668</v>
      </c>
      <c r="T361" s="38">
        <f t="shared" si="65"/>
        <v>111.24333333333334</v>
      </c>
      <c r="U361" s="38">
        <v>113.02</v>
      </c>
      <c r="V361" s="62">
        <v>1.53</v>
      </c>
      <c r="W361" s="38">
        <f t="shared" si="61"/>
        <v>91.73333333333332</v>
      </c>
      <c r="X361" s="38" t="s">
        <v>658</v>
      </c>
      <c r="Y361" s="9"/>
    </row>
    <row r="362" spans="1:25" hidden="1" x14ac:dyDescent="0.25">
      <c r="A362" s="5" t="s">
        <v>25</v>
      </c>
      <c r="B362" s="9" t="s">
        <v>29</v>
      </c>
      <c r="C362" s="9" t="s">
        <v>33</v>
      </c>
      <c r="D362" s="9" t="s">
        <v>423</v>
      </c>
      <c r="E362" s="22">
        <v>45889</v>
      </c>
      <c r="F362" s="9">
        <v>1</v>
      </c>
      <c r="G362" s="10" t="s">
        <v>58</v>
      </c>
      <c r="H362" s="9" t="s">
        <v>85</v>
      </c>
      <c r="I362" s="9">
        <v>69</v>
      </c>
      <c r="J362" s="9" t="s">
        <v>265</v>
      </c>
      <c r="K362" s="38">
        <f t="shared" ref="K362:K378" si="67">I362</f>
        <v>69</v>
      </c>
      <c r="L362" s="38">
        <f t="shared" ref="L362:L378" si="68">AVERAGE(19.9,19.77,19.6)</f>
        <v>19.756666666666668</v>
      </c>
      <c r="M362" s="38">
        <f t="shared" ref="M362:M378" si="69">K362-L362</f>
        <v>49.243333333333332</v>
      </c>
      <c r="N362" s="38">
        <v>66.400000000000006</v>
      </c>
      <c r="O362" s="38">
        <f t="shared" si="56"/>
        <v>19.756666666666668</v>
      </c>
      <c r="P362" s="38">
        <f t="shared" si="57"/>
        <v>46.643333333333338</v>
      </c>
      <c r="Q362" s="38"/>
      <c r="R362" s="38">
        <v>175.54</v>
      </c>
      <c r="S362" s="38">
        <f t="shared" si="66"/>
        <v>19.756666666666668</v>
      </c>
      <c r="T362" s="38">
        <f t="shared" si="65"/>
        <v>155.78333333333333</v>
      </c>
      <c r="U362" s="38">
        <v>110.21</v>
      </c>
      <c r="V362" s="62">
        <v>1.6</v>
      </c>
      <c r="W362" s="38">
        <f t="shared" si="61"/>
        <v>88.853333333333325</v>
      </c>
      <c r="X362" s="38" t="s">
        <v>658</v>
      </c>
      <c r="Y362" s="9"/>
    </row>
    <row r="363" spans="1:25" hidden="1" x14ac:dyDescent="0.25">
      <c r="A363" s="5" t="s">
        <v>25</v>
      </c>
      <c r="B363" s="9" t="s">
        <v>30</v>
      </c>
      <c r="C363" s="9" t="s">
        <v>33</v>
      </c>
      <c r="D363" s="9" t="s">
        <v>434</v>
      </c>
      <c r="E363" s="22">
        <v>45889</v>
      </c>
      <c r="F363" s="9">
        <v>1</v>
      </c>
      <c r="G363" s="10" t="s">
        <v>58</v>
      </c>
      <c r="H363" s="9" t="s">
        <v>85</v>
      </c>
      <c r="I363" s="9">
        <v>93</v>
      </c>
      <c r="J363" s="9" t="s">
        <v>278</v>
      </c>
      <c r="K363" s="38">
        <f t="shared" si="67"/>
        <v>93</v>
      </c>
      <c r="L363" s="38">
        <f t="shared" si="68"/>
        <v>19.756666666666668</v>
      </c>
      <c r="M363" s="38">
        <f t="shared" si="69"/>
        <v>73.243333333333339</v>
      </c>
      <c r="N363" s="38">
        <v>91.34</v>
      </c>
      <c r="O363" s="38">
        <f t="shared" si="56"/>
        <v>19.756666666666668</v>
      </c>
      <c r="P363" s="38">
        <f t="shared" si="57"/>
        <v>71.583333333333343</v>
      </c>
      <c r="Q363" s="38"/>
      <c r="R363" s="38">
        <v>142.5</v>
      </c>
      <c r="S363" s="38">
        <f t="shared" si="66"/>
        <v>19.756666666666668</v>
      </c>
      <c r="T363" s="38">
        <f t="shared" si="65"/>
        <v>122.74333333333334</v>
      </c>
      <c r="U363" s="38">
        <v>79.59</v>
      </c>
      <c r="V363" s="62">
        <v>1.58</v>
      </c>
      <c r="W363" s="38">
        <f t="shared" si="61"/>
        <v>58.253333333333337</v>
      </c>
      <c r="X363" s="38" t="s">
        <v>658</v>
      </c>
      <c r="Y363" s="9"/>
    </row>
    <row r="364" spans="1:25" hidden="1" x14ac:dyDescent="0.25">
      <c r="A364" s="5" t="s">
        <v>25</v>
      </c>
      <c r="B364" s="9" t="s">
        <v>31</v>
      </c>
      <c r="C364" s="9" t="s">
        <v>33</v>
      </c>
      <c r="D364" s="9" t="s">
        <v>445</v>
      </c>
      <c r="E364" s="22">
        <v>45888</v>
      </c>
      <c r="F364" s="9">
        <v>1</v>
      </c>
      <c r="G364" s="10" t="s">
        <v>58</v>
      </c>
      <c r="H364" s="9" t="s">
        <v>85</v>
      </c>
      <c r="I364" s="9">
        <v>28</v>
      </c>
      <c r="J364" s="9" t="s">
        <v>291</v>
      </c>
      <c r="K364" s="38">
        <f t="shared" si="67"/>
        <v>28</v>
      </c>
      <c r="L364" s="38">
        <f t="shared" si="68"/>
        <v>19.756666666666668</v>
      </c>
      <c r="M364" s="38">
        <f t="shared" si="69"/>
        <v>8.2433333333333323</v>
      </c>
      <c r="N364" s="38">
        <v>25.96</v>
      </c>
      <c r="O364" s="38">
        <f t="shared" si="56"/>
        <v>19.756666666666668</v>
      </c>
      <c r="P364" s="38">
        <f t="shared" si="57"/>
        <v>6.2033333333333331</v>
      </c>
      <c r="Q364" s="38"/>
      <c r="R364" s="38">
        <v>88.99</v>
      </c>
      <c r="S364" s="38">
        <f t="shared" si="66"/>
        <v>19.756666666666668</v>
      </c>
      <c r="T364" s="38">
        <f t="shared" si="65"/>
        <v>69.23333333333332</v>
      </c>
      <c r="U364" s="38">
        <v>76.989999999999995</v>
      </c>
      <c r="V364" s="62">
        <v>1.57</v>
      </c>
      <c r="W364" s="38">
        <f t="shared" si="61"/>
        <v>55.663333333333327</v>
      </c>
      <c r="X364" s="38" t="s">
        <v>658</v>
      </c>
      <c r="Y364" s="9"/>
    </row>
    <row r="365" spans="1:25" x14ac:dyDescent="0.25">
      <c r="A365" s="5" t="s">
        <v>25</v>
      </c>
      <c r="B365" s="9" t="s">
        <v>27</v>
      </c>
      <c r="C365" s="9" t="s">
        <v>42</v>
      </c>
      <c r="D365" s="9" t="s">
        <v>410</v>
      </c>
      <c r="E365" s="22">
        <v>45889</v>
      </c>
      <c r="F365" s="9">
        <v>1</v>
      </c>
      <c r="G365" s="10" t="s">
        <v>67</v>
      </c>
      <c r="H365" s="9" t="s">
        <v>71</v>
      </c>
      <c r="I365" s="9">
        <v>50</v>
      </c>
      <c r="J365" s="9" t="s">
        <v>239</v>
      </c>
      <c r="K365" s="38">
        <f t="shared" si="67"/>
        <v>50</v>
      </c>
      <c r="L365" s="38">
        <f t="shared" si="68"/>
        <v>19.756666666666668</v>
      </c>
      <c r="M365" s="38">
        <f t="shared" si="69"/>
        <v>30.243333333333332</v>
      </c>
      <c r="N365" s="38">
        <v>48.87</v>
      </c>
      <c r="O365" s="38">
        <f t="shared" si="56"/>
        <v>19.756666666666668</v>
      </c>
      <c r="P365" s="38">
        <f t="shared" si="57"/>
        <v>29.11333333333333</v>
      </c>
      <c r="Q365" s="38"/>
      <c r="R365" s="38">
        <v>77.08</v>
      </c>
      <c r="S365" s="38">
        <f t="shared" si="66"/>
        <v>19.756666666666668</v>
      </c>
      <c r="T365" s="38">
        <f t="shared" si="65"/>
        <v>57.323333333333331</v>
      </c>
      <c r="U365" s="38">
        <v>73.44</v>
      </c>
      <c r="V365" s="38">
        <v>0</v>
      </c>
      <c r="W365" s="38">
        <f t="shared" si="61"/>
        <v>53.68333333333333</v>
      </c>
      <c r="X365" s="38" t="s">
        <v>658</v>
      </c>
      <c r="Y365" s="9"/>
    </row>
    <row r="366" spans="1:25" hidden="1" x14ac:dyDescent="0.25">
      <c r="A366" s="5" t="s">
        <v>25</v>
      </c>
      <c r="B366" s="9" t="s">
        <v>28</v>
      </c>
      <c r="C366" s="9" t="s">
        <v>42</v>
      </c>
      <c r="D366" s="9" t="s">
        <v>421</v>
      </c>
      <c r="E366" s="22">
        <v>45889</v>
      </c>
      <c r="F366" s="9">
        <v>1</v>
      </c>
      <c r="G366" s="10" t="s">
        <v>67</v>
      </c>
      <c r="H366" s="9" t="s">
        <v>74</v>
      </c>
      <c r="I366" s="9">
        <v>54</v>
      </c>
      <c r="J366" s="9" t="s">
        <v>254</v>
      </c>
      <c r="K366" s="38">
        <f t="shared" si="67"/>
        <v>54</v>
      </c>
      <c r="L366" s="38">
        <f t="shared" si="68"/>
        <v>19.756666666666668</v>
      </c>
      <c r="M366" s="38">
        <f t="shared" si="69"/>
        <v>34.243333333333332</v>
      </c>
      <c r="N366" s="38">
        <v>50.9</v>
      </c>
      <c r="O366" s="38">
        <f t="shared" si="56"/>
        <v>19.756666666666668</v>
      </c>
      <c r="P366" s="38">
        <f t="shared" si="57"/>
        <v>31.143333333333331</v>
      </c>
      <c r="Q366" s="38"/>
      <c r="R366" s="38">
        <v>89.92</v>
      </c>
      <c r="S366" s="38">
        <f t="shared" si="66"/>
        <v>19.756666666666668</v>
      </c>
      <c r="T366" s="38">
        <f t="shared" si="65"/>
        <v>70.163333333333327</v>
      </c>
      <c r="U366" s="38">
        <v>75.78</v>
      </c>
      <c r="V366" s="38">
        <v>1.65</v>
      </c>
      <c r="W366" s="38">
        <f t="shared" si="61"/>
        <v>54.373333333333335</v>
      </c>
      <c r="X366" s="38" t="s">
        <v>658</v>
      </c>
      <c r="Y366" s="9"/>
    </row>
    <row r="367" spans="1:25" ht="30" hidden="1" x14ac:dyDescent="0.25">
      <c r="A367" s="5" t="s">
        <v>25</v>
      </c>
      <c r="B367" s="9" t="s">
        <v>29</v>
      </c>
      <c r="C367" s="9" t="s">
        <v>42</v>
      </c>
      <c r="D367" s="9" t="s">
        <v>432</v>
      </c>
      <c r="E367" s="22">
        <v>45889</v>
      </c>
      <c r="F367" s="9">
        <v>1</v>
      </c>
      <c r="G367" s="10" t="s">
        <v>67</v>
      </c>
      <c r="H367" s="29" t="s">
        <v>116</v>
      </c>
      <c r="I367" s="9">
        <v>67</v>
      </c>
      <c r="J367" s="9" t="s">
        <v>267</v>
      </c>
      <c r="K367" s="38">
        <f t="shared" si="67"/>
        <v>67</v>
      </c>
      <c r="L367" s="38">
        <f t="shared" si="68"/>
        <v>19.756666666666668</v>
      </c>
      <c r="M367" s="38">
        <f t="shared" si="69"/>
        <v>47.243333333333332</v>
      </c>
      <c r="N367" s="38">
        <v>64.72</v>
      </c>
      <c r="O367" s="38">
        <f t="shared" si="56"/>
        <v>19.756666666666668</v>
      </c>
      <c r="P367" s="38">
        <f t="shared" si="57"/>
        <v>44.963333333333331</v>
      </c>
      <c r="Q367" s="38"/>
      <c r="R367" s="38">
        <v>96.57</v>
      </c>
      <c r="S367" s="38">
        <f t="shared" si="66"/>
        <v>19.756666666666668</v>
      </c>
      <c r="T367" s="38">
        <f t="shared" si="65"/>
        <v>76.813333333333333</v>
      </c>
      <c r="U367" s="38">
        <v>84.71</v>
      </c>
      <c r="V367" s="38">
        <v>1.53</v>
      </c>
      <c r="W367" s="38">
        <f t="shared" si="61"/>
        <v>63.423333333333318</v>
      </c>
      <c r="X367" s="38" t="s">
        <v>658</v>
      </c>
      <c r="Y367" s="9"/>
    </row>
    <row r="368" spans="1:25" hidden="1" x14ac:dyDescent="0.25">
      <c r="A368" s="5" t="s">
        <v>25</v>
      </c>
      <c r="B368" s="9" t="s">
        <v>30</v>
      </c>
      <c r="C368" s="9" t="s">
        <v>42</v>
      </c>
      <c r="D368" s="9" t="s">
        <v>443</v>
      </c>
      <c r="E368" s="22">
        <v>45889</v>
      </c>
      <c r="F368" s="9">
        <v>1</v>
      </c>
      <c r="G368" s="10" t="s">
        <v>67</v>
      </c>
      <c r="H368" s="9" t="s">
        <v>74</v>
      </c>
      <c r="I368" s="9">
        <v>45</v>
      </c>
      <c r="J368" s="9" t="s">
        <v>281</v>
      </c>
      <c r="K368" s="38">
        <f t="shared" si="67"/>
        <v>45</v>
      </c>
      <c r="L368" s="38">
        <f t="shared" si="68"/>
        <v>19.756666666666668</v>
      </c>
      <c r="M368" s="38">
        <f t="shared" si="69"/>
        <v>25.243333333333332</v>
      </c>
      <c r="N368" s="38">
        <v>40.25</v>
      </c>
      <c r="O368" s="38">
        <f t="shared" si="56"/>
        <v>19.756666666666668</v>
      </c>
      <c r="P368" s="38">
        <f t="shared" si="57"/>
        <v>20.493333333333332</v>
      </c>
      <c r="Q368" s="38"/>
      <c r="R368" s="38">
        <v>80.569999999999993</v>
      </c>
      <c r="S368" s="38">
        <f t="shared" si="66"/>
        <v>19.756666666666668</v>
      </c>
      <c r="T368" s="38">
        <f t="shared" si="65"/>
        <v>60.813333333333325</v>
      </c>
      <c r="U368" s="38">
        <v>60.31</v>
      </c>
      <c r="V368" s="38">
        <v>1.56</v>
      </c>
      <c r="W368" s="38">
        <f t="shared" si="61"/>
        <v>38.993333333333332</v>
      </c>
      <c r="X368" s="38" t="s">
        <v>658</v>
      </c>
      <c r="Y368" s="9"/>
    </row>
    <row r="369" spans="1:25" hidden="1" x14ac:dyDescent="0.25">
      <c r="A369" s="5" t="s">
        <v>25</v>
      </c>
      <c r="B369" s="9" t="s">
        <v>31</v>
      </c>
      <c r="C369" s="9" t="s">
        <v>42</v>
      </c>
      <c r="D369" s="9" t="s">
        <v>454</v>
      </c>
      <c r="E369" s="22">
        <v>45888</v>
      </c>
      <c r="F369" s="9">
        <v>1</v>
      </c>
      <c r="G369" s="10" t="s">
        <v>67</v>
      </c>
      <c r="H369" s="9" t="s">
        <v>85</v>
      </c>
      <c r="I369" s="9">
        <v>59</v>
      </c>
      <c r="J369" s="9" t="s">
        <v>298</v>
      </c>
      <c r="K369" s="38">
        <f t="shared" si="67"/>
        <v>59</v>
      </c>
      <c r="L369" s="38">
        <f t="shared" si="68"/>
        <v>19.756666666666668</v>
      </c>
      <c r="M369" s="38">
        <f t="shared" si="69"/>
        <v>39.243333333333332</v>
      </c>
      <c r="N369" s="38">
        <v>54.86</v>
      </c>
      <c r="O369" s="38">
        <f t="shared" si="56"/>
        <v>19.756666666666668</v>
      </c>
      <c r="P369" s="38">
        <f t="shared" si="57"/>
        <v>35.103333333333332</v>
      </c>
      <c r="Q369" s="38"/>
      <c r="R369" s="38">
        <v>67.34</v>
      </c>
      <c r="S369" s="38">
        <f t="shared" si="66"/>
        <v>19.756666666666668</v>
      </c>
      <c r="T369" s="38">
        <f t="shared" si="65"/>
        <v>47.583333333333336</v>
      </c>
      <c r="U369" s="38">
        <v>56.43</v>
      </c>
      <c r="V369" s="38">
        <v>1.54</v>
      </c>
      <c r="W369" s="38">
        <f t="shared" si="61"/>
        <v>35.133333333333333</v>
      </c>
      <c r="X369" s="38" t="s">
        <v>658</v>
      </c>
      <c r="Y369" s="9"/>
    </row>
    <row r="370" spans="1:25" ht="30" hidden="1" x14ac:dyDescent="0.25">
      <c r="A370" s="5" t="s">
        <v>25</v>
      </c>
      <c r="B370" s="9" t="s">
        <v>28</v>
      </c>
      <c r="C370" s="9" t="s">
        <v>43</v>
      </c>
      <c r="D370" s="9" t="s">
        <v>422</v>
      </c>
      <c r="E370" s="22">
        <v>45889</v>
      </c>
      <c r="F370" s="9">
        <v>3</v>
      </c>
      <c r="G370" s="10" t="s">
        <v>68</v>
      </c>
      <c r="H370" s="9" t="s">
        <v>74</v>
      </c>
      <c r="I370" s="9">
        <v>130</v>
      </c>
      <c r="J370" s="9" t="s">
        <v>255</v>
      </c>
      <c r="K370" s="38">
        <f t="shared" si="67"/>
        <v>130</v>
      </c>
      <c r="L370" s="38">
        <f t="shared" si="68"/>
        <v>19.756666666666668</v>
      </c>
      <c r="M370" s="38">
        <f t="shared" si="69"/>
        <v>110.24333333333334</v>
      </c>
      <c r="N370" s="38">
        <v>125.49</v>
      </c>
      <c r="O370" s="38">
        <f t="shared" ref="O370:O378" si="70">AVERAGE(19.9,19.77,19.6)</f>
        <v>19.756666666666668</v>
      </c>
      <c r="P370" s="38">
        <f t="shared" ref="P370:P378" si="71">N370-O370</f>
        <v>105.73333333333332</v>
      </c>
      <c r="Q370" s="38">
        <v>4</v>
      </c>
      <c r="R370" s="38">
        <v>218.18</v>
      </c>
      <c r="S370" s="38">
        <v>15.18</v>
      </c>
      <c r="T370" s="38">
        <f t="shared" si="65"/>
        <v>203</v>
      </c>
      <c r="U370" s="38">
        <v>194.27</v>
      </c>
      <c r="V370" s="38">
        <v>1.66</v>
      </c>
      <c r="W370" s="38">
        <f t="shared" si="61"/>
        <v>177.43</v>
      </c>
      <c r="X370" s="38" t="s">
        <v>658</v>
      </c>
      <c r="Y370" s="9"/>
    </row>
    <row r="371" spans="1:25" hidden="1" x14ac:dyDescent="0.25">
      <c r="A371" s="5" t="s">
        <v>25</v>
      </c>
      <c r="B371" s="9" t="s">
        <v>30</v>
      </c>
      <c r="C371" s="9" t="s">
        <v>43</v>
      </c>
      <c r="D371" s="9" t="s">
        <v>444</v>
      </c>
      <c r="E371" s="22">
        <v>45889</v>
      </c>
      <c r="F371" s="37"/>
      <c r="G371" s="10" t="s">
        <v>68</v>
      </c>
      <c r="H371" s="9" t="s">
        <v>74</v>
      </c>
      <c r="I371" s="9">
        <v>84</v>
      </c>
      <c r="J371" s="9" t="s">
        <v>377</v>
      </c>
      <c r="K371" s="38">
        <f t="shared" si="67"/>
        <v>84</v>
      </c>
      <c r="L371" s="38">
        <f t="shared" si="68"/>
        <v>19.756666666666668</v>
      </c>
      <c r="M371" s="38">
        <f t="shared" si="69"/>
        <v>64.243333333333339</v>
      </c>
      <c r="N371" s="38">
        <v>75.03</v>
      </c>
      <c r="O371" s="38">
        <f t="shared" si="70"/>
        <v>19.756666666666668</v>
      </c>
      <c r="P371" s="38">
        <f t="shared" si="71"/>
        <v>55.273333333333333</v>
      </c>
      <c r="Q371" s="38">
        <v>3.5</v>
      </c>
      <c r="R371" s="38">
        <v>228.29</v>
      </c>
      <c r="S371" s="38">
        <v>15.18</v>
      </c>
      <c r="T371" s="38">
        <f t="shared" si="65"/>
        <v>213.10999999999999</v>
      </c>
      <c r="U371" s="38">
        <v>166.56</v>
      </c>
      <c r="V371" s="38">
        <v>1.65</v>
      </c>
      <c r="W371" s="38">
        <f t="shared" si="61"/>
        <v>149.72999999999999</v>
      </c>
      <c r="X371" s="38" t="s">
        <v>658</v>
      </c>
      <c r="Y371" s="9" t="s">
        <v>382</v>
      </c>
    </row>
    <row r="372" spans="1:25" x14ac:dyDescent="0.25">
      <c r="A372" s="5" t="s">
        <v>25</v>
      </c>
      <c r="B372" s="9" t="s">
        <v>27</v>
      </c>
      <c r="C372" s="9" t="s">
        <v>44</v>
      </c>
      <c r="D372" s="9" t="s">
        <v>411</v>
      </c>
      <c r="E372" s="22">
        <v>45889</v>
      </c>
      <c r="F372" s="37"/>
      <c r="G372" s="10" t="s">
        <v>68</v>
      </c>
      <c r="H372" s="9" t="s">
        <v>71</v>
      </c>
      <c r="I372" s="9">
        <v>171</v>
      </c>
      <c r="J372" s="9" t="s">
        <v>240</v>
      </c>
      <c r="K372" s="38">
        <f t="shared" si="67"/>
        <v>171</v>
      </c>
      <c r="L372" s="38">
        <f t="shared" si="68"/>
        <v>19.756666666666668</v>
      </c>
      <c r="M372" s="38">
        <f t="shared" si="69"/>
        <v>151.24333333333334</v>
      </c>
      <c r="N372" s="38">
        <v>165.57</v>
      </c>
      <c r="O372" s="38">
        <f t="shared" si="70"/>
        <v>19.756666666666668</v>
      </c>
      <c r="P372" s="38">
        <f t="shared" si="71"/>
        <v>145.81333333333333</v>
      </c>
      <c r="Q372" s="38">
        <v>4</v>
      </c>
      <c r="R372" s="38">
        <v>416.52</v>
      </c>
      <c r="S372" s="38">
        <v>15.18</v>
      </c>
      <c r="T372" s="38">
        <f t="shared" si="65"/>
        <v>401.34</v>
      </c>
      <c r="U372" s="38">
        <v>378.62</v>
      </c>
      <c r="V372" s="38">
        <v>2.54</v>
      </c>
      <c r="W372" s="38">
        <f t="shared" si="61"/>
        <v>360.9</v>
      </c>
      <c r="X372" s="38" t="s">
        <v>658</v>
      </c>
      <c r="Y372" s="9" t="s">
        <v>384</v>
      </c>
    </row>
    <row r="373" spans="1:25" hidden="1" x14ac:dyDescent="0.25">
      <c r="A373" s="5" t="s">
        <v>25</v>
      </c>
      <c r="B373" s="9" t="s">
        <v>29</v>
      </c>
      <c r="C373" s="9" t="s">
        <v>44</v>
      </c>
      <c r="D373" s="9" t="s">
        <v>433</v>
      </c>
      <c r="E373" s="22">
        <v>45889</v>
      </c>
      <c r="F373" s="37"/>
      <c r="G373" s="10" t="s">
        <v>68</v>
      </c>
      <c r="H373" s="9" t="s">
        <v>116</v>
      </c>
      <c r="I373" s="9">
        <v>104</v>
      </c>
      <c r="J373" s="9" t="s">
        <v>268</v>
      </c>
      <c r="K373" s="38">
        <f t="shared" si="67"/>
        <v>104</v>
      </c>
      <c r="L373" s="38">
        <f t="shared" si="68"/>
        <v>19.756666666666668</v>
      </c>
      <c r="M373" s="38">
        <f t="shared" si="69"/>
        <v>84.243333333333339</v>
      </c>
      <c r="N373" s="38">
        <v>99.47</v>
      </c>
      <c r="O373" s="38">
        <f t="shared" si="70"/>
        <v>19.756666666666668</v>
      </c>
      <c r="P373" s="38">
        <f t="shared" si="71"/>
        <v>79.713333333333338</v>
      </c>
      <c r="Q373" s="38">
        <v>3.5</v>
      </c>
      <c r="R373" s="38">
        <v>363.22</v>
      </c>
      <c r="S373" s="38">
        <v>15.18</v>
      </c>
      <c r="T373" s="38">
        <f t="shared" si="65"/>
        <v>348.04</v>
      </c>
      <c r="U373" s="38">
        <v>294.7</v>
      </c>
      <c r="V373" s="38">
        <v>1.67</v>
      </c>
      <c r="W373" s="38">
        <f t="shared" si="61"/>
        <v>277.84999999999997</v>
      </c>
      <c r="X373" s="38" t="s">
        <v>658</v>
      </c>
      <c r="Y373" s="9" t="s">
        <v>384</v>
      </c>
    </row>
    <row r="374" spans="1:25" hidden="1" x14ac:dyDescent="0.25">
      <c r="A374" s="5" t="s">
        <v>25</v>
      </c>
      <c r="B374" s="9" t="s">
        <v>31</v>
      </c>
      <c r="C374" s="9" t="s">
        <v>44</v>
      </c>
      <c r="D374" s="9" t="s">
        <v>455</v>
      </c>
      <c r="E374" s="22">
        <v>45888</v>
      </c>
      <c r="F374" s="37"/>
      <c r="G374" s="10" t="s">
        <v>68</v>
      </c>
      <c r="H374" s="9" t="s">
        <v>85</v>
      </c>
      <c r="I374" s="9">
        <v>127</v>
      </c>
      <c r="J374" s="9" t="s">
        <v>301</v>
      </c>
      <c r="K374" s="38">
        <f t="shared" si="67"/>
        <v>127</v>
      </c>
      <c r="L374" s="38">
        <f t="shared" si="68"/>
        <v>19.756666666666668</v>
      </c>
      <c r="M374" s="38">
        <f t="shared" si="69"/>
        <v>107.24333333333334</v>
      </c>
      <c r="N374" s="38">
        <v>114.67</v>
      </c>
      <c r="O374" s="38">
        <f t="shared" si="70"/>
        <v>19.756666666666668</v>
      </c>
      <c r="P374" s="38">
        <f t="shared" si="71"/>
        <v>94.913333333333327</v>
      </c>
      <c r="Q374" s="38">
        <v>3</v>
      </c>
      <c r="R374" s="38">
        <v>258.63</v>
      </c>
      <c r="S374" s="38">
        <v>15.18</v>
      </c>
      <c r="T374" s="38">
        <f t="shared" si="65"/>
        <v>243.45</v>
      </c>
      <c r="U374" s="38">
        <v>201.79</v>
      </c>
      <c r="V374" s="38">
        <v>1.56</v>
      </c>
      <c r="W374" s="38">
        <f t="shared" si="61"/>
        <v>185.04999999999998</v>
      </c>
      <c r="X374" s="38" t="s">
        <v>658</v>
      </c>
      <c r="Y374" s="9" t="s">
        <v>382</v>
      </c>
    </row>
    <row r="375" spans="1:25" x14ac:dyDescent="0.25">
      <c r="A375" s="5" t="s">
        <v>25</v>
      </c>
      <c r="B375" s="9" t="s">
        <v>27</v>
      </c>
      <c r="C375" s="9" t="s">
        <v>45</v>
      </c>
      <c r="D375" s="9" t="s">
        <v>411</v>
      </c>
      <c r="E375" s="22">
        <v>45889</v>
      </c>
      <c r="F375" s="37"/>
      <c r="G375" s="10" t="s">
        <v>68</v>
      </c>
      <c r="H375" s="9" t="s">
        <v>71</v>
      </c>
      <c r="I375" s="9">
        <v>133</v>
      </c>
      <c r="J375" s="9" t="s">
        <v>240</v>
      </c>
      <c r="K375" s="38">
        <f t="shared" si="67"/>
        <v>133</v>
      </c>
      <c r="L375" s="38">
        <f t="shared" si="68"/>
        <v>19.756666666666668</v>
      </c>
      <c r="M375" s="38">
        <f t="shared" si="69"/>
        <v>113.24333333333334</v>
      </c>
      <c r="N375" s="38">
        <v>128.59</v>
      </c>
      <c r="O375" s="38">
        <f t="shared" si="70"/>
        <v>19.756666666666668</v>
      </c>
      <c r="P375" s="38">
        <f t="shared" si="71"/>
        <v>108.83333333333334</v>
      </c>
      <c r="Q375" s="38" t="s">
        <v>374</v>
      </c>
      <c r="R375" s="38">
        <v>416.52</v>
      </c>
      <c r="S375" s="38">
        <v>15.18</v>
      </c>
      <c r="T375" s="38">
        <f t="shared" si="65"/>
        <v>401.34</v>
      </c>
      <c r="U375" s="38">
        <v>378.62</v>
      </c>
      <c r="V375" s="38">
        <v>1.92</v>
      </c>
      <c r="W375" s="38">
        <f t="shared" si="61"/>
        <v>361.52</v>
      </c>
      <c r="X375" s="38" t="s">
        <v>658</v>
      </c>
      <c r="Y375" s="9" t="s">
        <v>384</v>
      </c>
    </row>
    <row r="376" spans="1:25" hidden="1" x14ac:dyDescent="0.25">
      <c r="A376" s="5" t="s">
        <v>25</v>
      </c>
      <c r="B376" s="9" t="s">
        <v>29</v>
      </c>
      <c r="C376" s="9" t="s">
        <v>45</v>
      </c>
      <c r="D376" s="9" t="s">
        <v>433</v>
      </c>
      <c r="E376" s="22">
        <v>45889</v>
      </c>
      <c r="F376" s="37"/>
      <c r="G376" s="10" t="s">
        <v>68</v>
      </c>
      <c r="H376" s="9" t="s">
        <v>116</v>
      </c>
      <c r="I376" s="9">
        <v>139</v>
      </c>
      <c r="J376" s="9" t="s">
        <v>268</v>
      </c>
      <c r="K376" s="38">
        <f t="shared" si="67"/>
        <v>139</v>
      </c>
      <c r="L376" s="38">
        <f t="shared" si="68"/>
        <v>19.756666666666668</v>
      </c>
      <c r="M376" s="38">
        <f t="shared" si="69"/>
        <v>119.24333333333334</v>
      </c>
      <c r="N376" s="38">
        <v>132.91999999999999</v>
      </c>
      <c r="O376" s="38">
        <f t="shared" si="70"/>
        <v>19.756666666666668</v>
      </c>
      <c r="P376" s="38">
        <f t="shared" si="71"/>
        <v>113.16333333333333</v>
      </c>
      <c r="Q376" s="38" t="s">
        <v>374</v>
      </c>
      <c r="R376" s="38">
        <v>363.22</v>
      </c>
      <c r="S376" s="38">
        <v>15.18</v>
      </c>
      <c r="T376" s="38">
        <f t="shared" si="65"/>
        <v>348.04</v>
      </c>
      <c r="U376" s="38">
        <v>294.7</v>
      </c>
      <c r="V376" s="38">
        <v>1.7</v>
      </c>
      <c r="W376" s="38">
        <f t="shared" si="61"/>
        <v>277.82</v>
      </c>
      <c r="X376" s="38" t="s">
        <v>658</v>
      </c>
      <c r="Y376" s="9" t="s">
        <v>384</v>
      </c>
    </row>
    <row r="377" spans="1:25" hidden="1" x14ac:dyDescent="0.25">
      <c r="A377" s="5" t="s">
        <v>25</v>
      </c>
      <c r="B377" s="9" t="s">
        <v>31</v>
      </c>
      <c r="C377" s="9" t="s">
        <v>45</v>
      </c>
      <c r="D377" s="9" t="s">
        <v>455</v>
      </c>
      <c r="E377" s="22">
        <v>45888</v>
      </c>
      <c r="F377" s="37"/>
      <c r="G377" s="10" t="s">
        <v>68</v>
      </c>
      <c r="H377" s="9" t="s">
        <v>85</v>
      </c>
      <c r="I377" s="9">
        <v>98</v>
      </c>
      <c r="J377" s="9" t="s">
        <v>302</v>
      </c>
      <c r="K377" s="38">
        <f t="shared" si="67"/>
        <v>98</v>
      </c>
      <c r="L377" s="38">
        <f t="shared" si="68"/>
        <v>19.756666666666668</v>
      </c>
      <c r="M377" s="38">
        <f t="shared" si="69"/>
        <v>78.243333333333339</v>
      </c>
      <c r="N377" s="38">
        <v>88.45</v>
      </c>
      <c r="O377" s="38">
        <f t="shared" si="70"/>
        <v>19.756666666666668</v>
      </c>
      <c r="P377" s="38">
        <f t="shared" si="71"/>
        <v>68.693333333333328</v>
      </c>
      <c r="Q377" s="38">
        <v>2.5</v>
      </c>
      <c r="R377" s="38">
        <v>258.63</v>
      </c>
      <c r="S377" s="38">
        <v>15.18</v>
      </c>
      <c r="T377" s="38">
        <f t="shared" si="65"/>
        <v>243.45</v>
      </c>
      <c r="U377" s="38">
        <v>201.79</v>
      </c>
      <c r="V377" s="38">
        <v>1.56</v>
      </c>
      <c r="W377" s="38">
        <f t="shared" si="61"/>
        <v>185.04999999999998</v>
      </c>
      <c r="X377" s="38" t="s">
        <v>658</v>
      </c>
      <c r="Y377" s="9" t="s">
        <v>382</v>
      </c>
    </row>
    <row r="378" spans="1:25" ht="30" x14ac:dyDescent="0.25">
      <c r="A378" s="5" t="s">
        <v>25</v>
      </c>
      <c r="B378" s="9" t="s">
        <v>27</v>
      </c>
      <c r="C378" s="9" t="s">
        <v>392</v>
      </c>
      <c r="D378" s="9" t="s">
        <v>460</v>
      </c>
      <c r="E378" s="22">
        <v>45889</v>
      </c>
      <c r="F378" s="9">
        <v>2</v>
      </c>
      <c r="G378" s="10" t="s">
        <v>48</v>
      </c>
      <c r="H378" s="9" t="s">
        <v>71</v>
      </c>
      <c r="I378" s="9">
        <v>217</v>
      </c>
      <c r="J378" s="9" t="s">
        <v>224</v>
      </c>
      <c r="K378" s="38">
        <f t="shared" si="67"/>
        <v>217</v>
      </c>
      <c r="L378" s="38">
        <f t="shared" si="68"/>
        <v>19.756666666666668</v>
      </c>
      <c r="M378" s="38">
        <f t="shared" si="69"/>
        <v>197.24333333333334</v>
      </c>
      <c r="N378" s="38">
        <v>209.07</v>
      </c>
      <c r="O378" s="38">
        <f t="shared" si="70"/>
        <v>19.756666666666668</v>
      </c>
      <c r="P378" s="38">
        <f t="shared" si="71"/>
        <v>189.31333333333333</v>
      </c>
      <c r="Q378" s="38"/>
      <c r="R378" s="38">
        <v>527.84</v>
      </c>
      <c r="S378" s="38">
        <v>15.18</v>
      </c>
      <c r="T378" s="38">
        <f t="shared" si="65"/>
        <v>512.66000000000008</v>
      </c>
      <c r="U378" s="38">
        <v>415.01</v>
      </c>
      <c r="V378" s="38">
        <v>1.78</v>
      </c>
      <c r="W378" s="38">
        <f t="shared" si="61"/>
        <v>398.05</v>
      </c>
      <c r="X378" s="38" t="s">
        <v>658</v>
      </c>
      <c r="Y378" s="9"/>
    </row>
    <row r="379" spans="1:25" ht="30" hidden="1" x14ac:dyDescent="0.25">
      <c r="A379" s="5" t="s">
        <v>25</v>
      </c>
      <c r="B379" s="9" t="s">
        <v>28</v>
      </c>
      <c r="C379" s="9" t="s">
        <v>392</v>
      </c>
      <c r="D379" s="9" t="s">
        <v>461</v>
      </c>
      <c r="E379" s="22">
        <v>45889</v>
      </c>
      <c r="F379" s="9">
        <v>2</v>
      </c>
      <c r="G379" s="10" t="s">
        <v>48</v>
      </c>
      <c r="H379" s="57"/>
      <c r="I379" s="37"/>
      <c r="J379" s="37"/>
      <c r="K379" s="39"/>
      <c r="L379" s="39"/>
      <c r="M379" s="39"/>
      <c r="N379" s="39"/>
      <c r="O379" s="39"/>
      <c r="P379" s="39"/>
      <c r="Q379" s="38"/>
      <c r="R379" s="38">
        <v>358.32</v>
      </c>
      <c r="S379" s="38">
        <v>15.18</v>
      </c>
      <c r="T379" s="38">
        <f t="shared" si="65"/>
        <v>343.14</v>
      </c>
      <c r="U379" s="38">
        <v>216.95</v>
      </c>
      <c r="V379" s="38">
        <v>1.62</v>
      </c>
      <c r="W379" s="38">
        <f t="shared" si="61"/>
        <v>200.14999999999998</v>
      </c>
      <c r="X379" s="38" t="s">
        <v>658</v>
      </c>
      <c r="Y379" s="9" t="s">
        <v>385</v>
      </c>
    </row>
    <row r="380" spans="1:25" hidden="1" x14ac:dyDescent="0.25">
      <c r="A380" s="5" t="s">
        <v>25</v>
      </c>
      <c r="B380" s="9" t="s">
        <v>29</v>
      </c>
      <c r="C380" s="9" t="s">
        <v>392</v>
      </c>
      <c r="D380" s="9" t="s">
        <v>462</v>
      </c>
      <c r="E380" s="22">
        <v>45889</v>
      </c>
      <c r="F380" s="9">
        <v>2</v>
      </c>
      <c r="G380" s="10" t="s">
        <v>48</v>
      </c>
      <c r="H380" s="9" t="s">
        <v>74</v>
      </c>
      <c r="I380" s="9">
        <v>211</v>
      </c>
      <c r="J380" s="9" t="s">
        <v>258</v>
      </c>
      <c r="K380" s="38">
        <f t="shared" ref="K380:K427" si="72">I380</f>
        <v>211</v>
      </c>
      <c r="L380" s="38">
        <f t="shared" ref="L380:L427" si="73">AVERAGE(19.9,19.77,19.6)</f>
        <v>19.756666666666668</v>
      </c>
      <c r="M380" s="38">
        <f t="shared" ref="M380:M427" si="74">K380-L380</f>
        <v>191.24333333333334</v>
      </c>
      <c r="N380" s="38">
        <v>206.03</v>
      </c>
      <c r="O380" s="38">
        <f t="shared" ref="O380:O427" si="75">AVERAGE(19.9,19.77,19.6)</f>
        <v>19.756666666666668</v>
      </c>
      <c r="P380" s="38">
        <f t="shared" ref="P380:P427" si="76">N380-O380</f>
        <v>186.27333333333334</v>
      </c>
      <c r="Q380" s="38"/>
      <c r="R380" s="38">
        <v>467.22</v>
      </c>
      <c r="S380" s="38">
        <v>15.18</v>
      </c>
      <c r="T380" s="38">
        <f t="shared" si="65"/>
        <v>452.04</v>
      </c>
      <c r="U380" s="38">
        <v>341.11</v>
      </c>
      <c r="V380" s="38">
        <v>1.87</v>
      </c>
      <c r="W380" s="38">
        <f t="shared" si="61"/>
        <v>324.06</v>
      </c>
      <c r="X380" s="38" t="s">
        <v>658</v>
      </c>
      <c r="Y380" s="9"/>
    </row>
    <row r="381" spans="1:25" hidden="1" x14ac:dyDescent="0.25">
      <c r="A381" s="5" t="s">
        <v>25</v>
      </c>
      <c r="B381" s="9" t="s">
        <v>30</v>
      </c>
      <c r="C381" s="9" t="s">
        <v>392</v>
      </c>
      <c r="D381" s="9" t="s">
        <v>463</v>
      </c>
      <c r="E381" s="22">
        <v>45889</v>
      </c>
      <c r="F381" s="9">
        <v>2</v>
      </c>
      <c r="G381" s="10" t="s">
        <v>48</v>
      </c>
      <c r="H381" s="9" t="s">
        <v>116</v>
      </c>
      <c r="I381" s="9">
        <v>183</v>
      </c>
      <c r="J381" s="9" t="s">
        <v>270</v>
      </c>
      <c r="K381" s="38">
        <f t="shared" si="72"/>
        <v>183</v>
      </c>
      <c r="L381" s="38">
        <f t="shared" si="73"/>
        <v>19.756666666666668</v>
      </c>
      <c r="M381" s="38">
        <f t="shared" si="74"/>
        <v>163.24333333333334</v>
      </c>
      <c r="N381" s="38">
        <v>163.51</v>
      </c>
      <c r="O381" s="38">
        <f t="shared" si="75"/>
        <v>19.756666666666668</v>
      </c>
      <c r="P381" s="38">
        <f t="shared" si="76"/>
        <v>143.75333333333333</v>
      </c>
      <c r="Q381" s="38"/>
      <c r="R381" s="38">
        <v>467.94</v>
      </c>
      <c r="S381" s="38">
        <v>15.18</v>
      </c>
      <c r="T381" s="38">
        <f t="shared" si="65"/>
        <v>452.76</v>
      </c>
      <c r="U381" s="38">
        <v>331.37</v>
      </c>
      <c r="V381" s="38">
        <v>1.57</v>
      </c>
      <c r="W381" s="38">
        <f t="shared" si="61"/>
        <v>314.62</v>
      </c>
      <c r="X381" s="38" t="s">
        <v>658</v>
      </c>
      <c r="Y381" s="9"/>
    </row>
    <row r="382" spans="1:25" hidden="1" x14ac:dyDescent="0.25">
      <c r="A382" s="5" t="s">
        <v>25</v>
      </c>
      <c r="B382" s="9" t="s">
        <v>31</v>
      </c>
      <c r="C382" s="9" t="s">
        <v>392</v>
      </c>
      <c r="D382" s="9" t="s">
        <v>464</v>
      </c>
      <c r="E382" s="22">
        <v>45888</v>
      </c>
      <c r="F382" s="9">
        <v>2</v>
      </c>
      <c r="G382" s="10" t="s">
        <v>48</v>
      </c>
      <c r="H382" s="9" t="s">
        <v>116</v>
      </c>
      <c r="I382" s="9">
        <v>110</v>
      </c>
      <c r="J382" s="9" t="s">
        <v>282</v>
      </c>
      <c r="K382" s="38">
        <f t="shared" si="72"/>
        <v>110</v>
      </c>
      <c r="L382" s="38">
        <f t="shared" si="73"/>
        <v>19.756666666666668</v>
      </c>
      <c r="M382" s="38">
        <f t="shared" si="74"/>
        <v>90.243333333333339</v>
      </c>
      <c r="N382" s="38">
        <v>93.46</v>
      </c>
      <c r="O382" s="38">
        <f t="shared" si="75"/>
        <v>19.756666666666668</v>
      </c>
      <c r="P382" s="38">
        <f t="shared" si="76"/>
        <v>73.703333333333319</v>
      </c>
      <c r="Q382" s="38"/>
      <c r="R382" s="38">
        <v>244.26</v>
      </c>
      <c r="S382" s="38">
        <v>15.18</v>
      </c>
      <c r="T382" s="38">
        <f t="shared" si="65"/>
        <v>229.07999999999998</v>
      </c>
      <c r="U382" s="38">
        <v>168.92</v>
      </c>
      <c r="V382" s="38">
        <v>1.72</v>
      </c>
      <c r="W382" s="38">
        <f t="shared" si="61"/>
        <v>152.01999999999998</v>
      </c>
      <c r="X382" s="38" t="s">
        <v>658</v>
      </c>
      <c r="Y382" s="9"/>
    </row>
    <row r="383" spans="1:25" ht="30" x14ac:dyDescent="0.25">
      <c r="A383" s="5" t="s">
        <v>25</v>
      </c>
      <c r="B383" s="9" t="s">
        <v>27</v>
      </c>
      <c r="C383" s="9" t="s">
        <v>393</v>
      </c>
      <c r="D383" s="9" t="s">
        <v>460</v>
      </c>
      <c r="E383" s="22">
        <v>45889</v>
      </c>
      <c r="F383" s="9">
        <v>2</v>
      </c>
      <c r="G383" s="10" t="s">
        <v>49</v>
      </c>
      <c r="H383" s="9" t="s">
        <v>71</v>
      </c>
      <c r="I383" s="9">
        <v>146</v>
      </c>
      <c r="J383" s="9" t="s">
        <v>225</v>
      </c>
      <c r="K383" s="38">
        <f t="shared" si="72"/>
        <v>146</v>
      </c>
      <c r="L383" s="38">
        <f t="shared" si="73"/>
        <v>19.756666666666668</v>
      </c>
      <c r="M383" s="38">
        <f t="shared" si="74"/>
        <v>126.24333333333334</v>
      </c>
      <c r="N383" s="38">
        <v>140.97</v>
      </c>
      <c r="O383" s="38">
        <f t="shared" si="75"/>
        <v>19.756666666666668</v>
      </c>
      <c r="P383" s="38">
        <f t="shared" si="76"/>
        <v>121.21333333333334</v>
      </c>
      <c r="Q383" s="38"/>
      <c r="R383" s="38">
        <v>527.84</v>
      </c>
      <c r="S383" s="38">
        <v>15.18</v>
      </c>
      <c r="T383" s="38">
        <f t="shared" si="65"/>
        <v>512.66000000000008</v>
      </c>
      <c r="U383" s="38">
        <v>415.01</v>
      </c>
      <c r="V383" s="38">
        <v>1.78</v>
      </c>
      <c r="W383" s="38">
        <f t="shared" si="61"/>
        <v>398.05</v>
      </c>
      <c r="X383" s="38" t="s">
        <v>658</v>
      </c>
      <c r="Y383" s="9"/>
    </row>
    <row r="384" spans="1:25" hidden="1" x14ac:dyDescent="0.25">
      <c r="A384" s="5" t="s">
        <v>25</v>
      </c>
      <c r="B384" s="9" t="s">
        <v>28</v>
      </c>
      <c r="C384" s="9" t="s">
        <v>393</v>
      </c>
      <c r="D384" s="9" t="s">
        <v>461</v>
      </c>
      <c r="E384" s="22">
        <v>45889</v>
      </c>
      <c r="F384" s="9">
        <v>2</v>
      </c>
      <c r="G384" s="10" t="s">
        <v>49</v>
      </c>
      <c r="H384" s="9" t="s">
        <v>71</v>
      </c>
      <c r="I384" s="9">
        <v>151</v>
      </c>
      <c r="J384" s="9" t="s">
        <v>241</v>
      </c>
      <c r="K384" s="38">
        <f t="shared" si="72"/>
        <v>151</v>
      </c>
      <c r="L384" s="38">
        <f t="shared" si="73"/>
        <v>19.756666666666668</v>
      </c>
      <c r="M384" s="38">
        <f t="shared" si="74"/>
        <v>131.24333333333334</v>
      </c>
      <c r="N384" s="38">
        <v>149.65</v>
      </c>
      <c r="O384" s="38">
        <f t="shared" si="75"/>
        <v>19.756666666666668</v>
      </c>
      <c r="P384" s="38">
        <f t="shared" si="76"/>
        <v>129.89333333333335</v>
      </c>
      <c r="Q384" s="38"/>
      <c r="R384" s="38">
        <v>358.32</v>
      </c>
      <c r="S384" s="38">
        <v>15.18</v>
      </c>
      <c r="T384" s="38">
        <f t="shared" si="65"/>
        <v>343.14</v>
      </c>
      <c r="U384" s="38">
        <v>216.95</v>
      </c>
      <c r="V384" s="38">
        <v>1.62</v>
      </c>
      <c r="W384" s="38">
        <f t="shared" si="61"/>
        <v>200.14999999999998</v>
      </c>
      <c r="X384" s="38" t="s">
        <v>658</v>
      </c>
      <c r="Y384" s="9"/>
    </row>
    <row r="385" spans="1:25" hidden="1" x14ac:dyDescent="0.25">
      <c r="A385" s="5" t="s">
        <v>25</v>
      </c>
      <c r="B385" s="9" t="s">
        <v>29</v>
      </c>
      <c r="C385" s="9" t="s">
        <v>393</v>
      </c>
      <c r="D385" s="9" t="s">
        <v>462</v>
      </c>
      <c r="E385" s="22">
        <v>45889</v>
      </c>
      <c r="F385" s="9">
        <v>2</v>
      </c>
      <c r="G385" s="10" t="s">
        <v>49</v>
      </c>
      <c r="H385" s="9" t="s">
        <v>85</v>
      </c>
      <c r="I385" s="9">
        <v>119</v>
      </c>
      <c r="J385" s="9" t="s">
        <v>259</v>
      </c>
      <c r="K385" s="38">
        <f t="shared" si="72"/>
        <v>119</v>
      </c>
      <c r="L385" s="38">
        <f t="shared" si="73"/>
        <v>19.756666666666668</v>
      </c>
      <c r="M385" s="38">
        <f t="shared" si="74"/>
        <v>99.243333333333339</v>
      </c>
      <c r="N385" s="38">
        <v>116.36</v>
      </c>
      <c r="O385" s="38">
        <f t="shared" si="75"/>
        <v>19.756666666666668</v>
      </c>
      <c r="P385" s="38">
        <f t="shared" si="76"/>
        <v>96.603333333333325</v>
      </c>
      <c r="Q385" s="38"/>
      <c r="R385" s="38">
        <v>467.22</v>
      </c>
      <c r="S385" s="38">
        <v>15.18</v>
      </c>
      <c r="T385" s="38">
        <f t="shared" si="65"/>
        <v>452.04</v>
      </c>
      <c r="U385" s="38">
        <v>341.11</v>
      </c>
      <c r="V385" s="38">
        <v>1.87</v>
      </c>
      <c r="W385" s="38">
        <f t="shared" si="61"/>
        <v>324.06</v>
      </c>
      <c r="X385" s="38" t="s">
        <v>658</v>
      </c>
      <c r="Y385" s="9"/>
    </row>
    <row r="386" spans="1:25" hidden="1" x14ac:dyDescent="0.25">
      <c r="A386" s="5" t="s">
        <v>25</v>
      </c>
      <c r="B386" s="9" t="s">
        <v>30</v>
      </c>
      <c r="C386" s="9" t="s">
        <v>393</v>
      </c>
      <c r="D386" s="9" t="s">
        <v>463</v>
      </c>
      <c r="E386" s="22">
        <v>45889</v>
      </c>
      <c r="F386" s="9">
        <v>2</v>
      </c>
      <c r="G386" s="10" t="s">
        <v>49</v>
      </c>
      <c r="H386" s="9" t="s">
        <v>116</v>
      </c>
      <c r="I386" s="9">
        <v>146</v>
      </c>
      <c r="J386" s="9" t="s">
        <v>271</v>
      </c>
      <c r="K386" s="38">
        <f t="shared" si="72"/>
        <v>146</v>
      </c>
      <c r="L386" s="38">
        <f t="shared" si="73"/>
        <v>19.756666666666668</v>
      </c>
      <c r="M386" s="38">
        <f t="shared" si="74"/>
        <v>126.24333333333334</v>
      </c>
      <c r="N386" s="38">
        <v>126.81</v>
      </c>
      <c r="O386" s="38">
        <f t="shared" si="75"/>
        <v>19.756666666666668</v>
      </c>
      <c r="P386" s="38">
        <f t="shared" si="76"/>
        <v>107.05333333333334</v>
      </c>
      <c r="Q386" s="38"/>
      <c r="R386" s="38">
        <v>467.94</v>
      </c>
      <c r="S386" s="38">
        <v>15.18</v>
      </c>
      <c r="T386" s="38">
        <f t="shared" si="65"/>
        <v>452.76</v>
      </c>
      <c r="U386" s="38">
        <v>331.37</v>
      </c>
      <c r="V386" s="38">
        <v>1.57</v>
      </c>
      <c r="W386" s="38">
        <f t="shared" si="61"/>
        <v>314.62</v>
      </c>
      <c r="X386" s="38" t="s">
        <v>658</v>
      </c>
      <c r="Y386" s="9"/>
    </row>
    <row r="387" spans="1:25" hidden="1" x14ac:dyDescent="0.25">
      <c r="A387" s="5" t="s">
        <v>25</v>
      </c>
      <c r="B387" s="9" t="s">
        <v>31</v>
      </c>
      <c r="C387" s="9" t="s">
        <v>393</v>
      </c>
      <c r="D387" s="9" t="s">
        <v>464</v>
      </c>
      <c r="E387" s="22">
        <v>45888</v>
      </c>
      <c r="F387" s="9">
        <v>2</v>
      </c>
      <c r="G387" s="10" t="s">
        <v>49</v>
      </c>
      <c r="H387" s="9" t="s">
        <v>116</v>
      </c>
      <c r="I387" s="9">
        <v>146</v>
      </c>
      <c r="J387" s="9" t="s">
        <v>283</v>
      </c>
      <c r="K387" s="38">
        <f t="shared" si="72"/>
        <v>146</v>
      </c>
      <c r="L387" s="38">
        <f t="shared" si="73"/>
        <v>19.756666666666668</v>
      </c>
      <c r="M387" s="38">
        <f t="shared" si="74"/>
        <v>126.24333333333334</v>
      </c>
      <c r="N387" s="38">
        <v>120.25</v>
      </c>
      <c r="O387" s="38">
        <f t="shared" si="75"/>
        <v>19.756666666666668</v>
      </c>
      <c r="P387" s="38">
        <f t="shared" si="76"/>
        <v>100.49333333333334</v>
      </c>
      <c r="Q387" s="38"/>
      <c r="R387" s="38">
        <v>244.26</v>
      </c>
      <c r="S387" s="38">
        <v>15.18</v>
      </c>
      <c r="T387" s="38">
        <f t="shared" si="65"/>
        <v>229.07999999999998</v>
      </c>
      <c r="U387" s="38">
        <v>168.92</v>
      </c>
      <c r="V387" s="38">
        <v>1.72</v>
      </c>
      <c r="W387" s="38">
        <f t="shared" ref="W387:W427" si="77">U387-S387-V387</f>
        <v>152.01999999999998</v>
      </c>
      <c r="X387" s="38" t="s">
        <v>658</v>
      </c>
      <c r="Y387" s="9"/>
    </row>
    <row r="388" spans="1:25" ht="30" x14ac:dyDescent="0.25">
      <c r="A388" s="5" t="s">
        <v>25</v>
      </c>
      <c r="B388" s="9" t="s">
        <v>27</v>
      </c>
      <c r="C388" s="9" t="s">
        <v>394</v>
      </c>
      <c r="D388" s="9" t="s">
        <v>459</v>
      </c>
      <c r="E388" s="22">
        <v>45889</v>
      </c>
      <c r="F388" s="9">
        <v>2</v>
      </c>
      <c r="G388" s="10" t="s">
        <v>50</v>
      </c>
      <c r="H388" s="9" t="s">
        <v>71</v>
      </c>
      <c r="I388" s="9">
        <v>134</v>
      </c>
      <c r="J388" s="9" t="s">
        <v>225</v>
      </c>
      <c r="K388" s="38">
        <f t="shared" si="72"/>
        <v>134</v>
      </c>
      <c r="L388" s="38">
        <f t="shared" si="73"/>
        <v>19.756666666666668</v>
      </c>
      <c r="M388" s="38">
        <f t="shared" si="74"/>
        <v>114.24333333333334</v>
      </c>
      <c r="N388" s="38">
        <v>128.9</v>
      </c>
      <c r="O388" s="38">
        <f t="shared" si="75"/>
        <v>19.756666666666668</v>
      </c>
      <c r="P388" s="38">
        <f t="shared" si="76"/>
        <v>109.14333333333335</v>
      </c>
      <c r="Q388" s="38"/>
      <c r="R388" s="38">
        <v>414.6</v>
      </c>
      <c r="S388" s="38">
        <v>15.18</v>
      </c>
      <c r="T388" s="38">
        <f t="shared" si="65"/>
        <v>399.42</v>
      </c>
      <c r="U388" s="38">
        <v>342.88</v>
      </c>
      <c r="V388" s="38">
        <v>1.62</v>
      </c>
      <c r="W388" s="38">
        <f t="shared" si="77"/>
        <v>326.08</v>
      </c>
      <c r="X388" s="38" t="s">
        <v>658</v>
      </c>
      <c r="Y388" s="9"/>
    </row>
    <row r="389" spans="1:25" hidden="1" x14ac:dyDescent="0.25">
      <c r="A389" s="5" t="s">
        <v>25</v>
      </c>
      <c r="B389" s="9" t="s">
        <v>28</v>
      </c>
      <c r="C389" s="9" t="s">
        <v>394</v>
      </c>
      <c r="D389" s="9" t="s">
        <v>465</v>
      </c>
      <c r="E389" s="22">
        <v>45889</v>
      </c>
      <c r="F389" s="9">
        <v>2</v>
      </c>
      <c r="G389" s="10" t="s">
        <v>50</v>
      </c>
      <c r="H389" s="9" t="s">
        <v>71</v>
      </c>
      <c r="I389" s="9">
        <v>96</v>
      </c>
      <c r="J389" s="9" t="s">
        <v>242</v>
      </c>
      <c r="K389" s="38">
        <f t="shared" si="72"/>
        <v>96</v>
      </c>
      <c r="L389" s="38">
        <f t="shared" si="73"/>
        <v>19.756666666666668</v>
      </c>
      <c r="M389" s="38">
        <f t="shared" si="74"/>
        <v>76.243333333333339</v>
      </c>
      <c r="N389" s="38">
        <v>94.9</v>
      </c>
      <c r="O389" s="38">
        <f t="shared" si="75"/>
        <v>19.756666666666668</v>
      </c>
      <c r="P389" s="38">
        <f t="shared" si="76"/>
        <v>75.143333333333345</v>
      </c>
      <c r="Q389" s="38"/>
      <c r="R389" s="38">
        <v>342.29</v>
      </c>
      <c r="S389" s="38">
        <v>15.18</v>
      </c>
      <c r="T389" s="38">
        <f t="shared" si="65"/>
        <v>327.11</v>
      </c>
      <c r="U389" s="38">
        <v>244.39</v>
      </c>
      <c r="V389" s="38">
        <v>1.6</v>
      </c>
      <c r="W389" s="38">
        <f t="shared" si="77"/>
        <v>227.60999999999999</v>
      </c>
      <c r="X389" s="38" t="s">
        <v>658</v>
      </c>
      <c r="Y389" s="9"/>
    </row>
    <row r="390" spans="1:25" hidden="1" x14ac:dyDescent="0.25">
      <c r="A390" s="5" t="s">
        <v>25</v>
      </c>
      <c r="B390" s="9" t="s">
        <v>29</v>
      </c>
      <c r="C390" s="9" t="s">
        <v>394</v>
      </c>
      <c r="D390" s="9" t="s">
        <v>469</v>
      </c>
      <c r="E390" s="22">
        <v>45889</v>
      </c>
      <c r="F390" s="9">
        <v>2</v>
      </c>
      <c r="G390" s="10" t="s">
        <v>50</v>
      </c>
      <c r="H390" s="9" t="s">
        <v>85</v>
      </c>
      <c r="I390" s="9">
        <v>99</v>
      </c>
      <c r="J390" s="9" t="s">
        <v>259</v>
      </c>
      <c r="K390" s="38">
        <f t="shared" si="72"/>
        <v>99</v>
      </c>
      <c r="L390" s="38">
        <f t="shared" si="73"/>
        <v>19.756666666666668</v>
      </c>
      <c r="M390" s="38">
        <f t="shared" si="74"/>
        <v>79.243333333333339</v>
      </c>
      <c r="N390" s="38">
        <v>96.3</v>
      </c>
      <c r="O390" s="38">
        <f t="shared" si="75"/>
        <v>19.756666666666668</v>
      </c>
      <c r="P390" s="38">
        <f t="shared" si="76"/>
        <v>76.543333333333322</v>
      </c>
      <c r="Q390" s="38"/>
      <c r="R390" s="38">
        <v>256.8</v>
      </c>
      <c r="S390" s="38">
        <v>15.18</v>
      </c>
      <c r="T390" s="38">
        <f t="shared" si="65"/>
        <v>241.62</v>
      </c>
      <c r="U390" s="38">
        <v>189.51</v>
      </c>
      <c r="V390" s="38">
        <v>2.11</v>
      </c>
      <c r="W390" s="38">
        <f t="shared" si="77"/>
        <v>172.21999999999997</v>
      </c>
      <c r="X390" s="38" t="s">
        <v>658</v>
      </c>
      <c r="Y390" s="9"/>
    </row>
    <row r="391" spans="1:25" ht="30" hidden="1" x14ac:dyDescent="0.25">
      <c r="A391" s="5" t="s">
        <v>25</v>
      </c>
      <c r="B391" s="9" t="s">
        <v>30</v>
      </c>
      <c r="C391" s="9" t="s">
        <v>394</v>
      </c>
      <c r="D391" s="9" t="s">
        <v>473</v>
      </c>
      <c r="E391" s="22">
        <v>45889</v>
      </c>
      <c r="F391" s="9">
        <v>2</v>
      </c>
      <c r="G391" s="10" t="s">
        <v>50</v>
      </c>
      <c r="H391" s="9" t="s">
        <v>116</v>
      </c>
      <c r="I391" s="9">
        <v>131</v>
      </c>
      <c r="J391" s="9" t="s">
        <v>272</v>
      </c>
      <c r="K391" s="38">
        <f t="shared" si="72"/>
        <v>131</v>
      </c>
      <c r="L391" s="38">
        <f t="shared" si="73"/>
        <v>19.756666666666668</v>
      </c>
      <c r="M391" s="38">
        <f t="shared" si="74"/>
        <v>111.24333333333334</v>
      </c>
      <c r="N391" s="38">
        <v>124.48</v>
      </c>
      <c r="O391" s="38">
        <f t="shared" si="75"/>
        <v>19.756666666666668</v>
      </c>
      <c r="P391" s="38">
        <f t="shared" si="76"/>
        <v>104.72333333333333</v>
      </c>
      <c r="Q391" s="38"/>
      <c r="R391" s="38">
        <v>379.5</v>
      </c>
      <c r="S391" s="38">
        <v>15.18</v>
      </c>
      <c r="T391" s="38">
        <f t="shared" si="65"/>
        <v>364.32</v>
      </c>
      <c r="U391" s="38">
        <v>274.79000000000002</v>
      </c>
      <c r="V391" s="38">
        <v>1.66</v>
      </c>
      <c r="W391" s="38">
        <f t="shared" si="77"/>
        <v>257.95</v>
      </c>
      <c r="X391" s="38" t="s">
        <v>658</v>
      </c>
      <c r="Y391" s="9"/>
    </row>
    <row r="392" spans="1:25" hidden="1" x14ac:dyDescent="0.25">
      <c r="A392" s="5" t="s">
        <v>25</v>
      </c>
      <c r="B392" s="9" t="s">
        <v>31</v>
      </c>
      <c r="C392" s="9" t="s">
        <v>394</v>
      </c>
      <c r="D392" s="9" t="s">
        <v>477</v>
      </c>
      <c r="E392" s="22">
        <v>45888</v>
      </c>
      <c r="F392" s="9">
        <v>2</v>
      </c>
      <c r="G392" s="10" t="s">
        <v>50</v>
      </c>
      <c r="H392" s="9" t="s">
        <v>116</v>
      </c>
      <c r="I392" s="9">
        <v>116</v>
      </c>
      <c r="J392" s="9" t="s">
        <v>284</v>
      </c>
      <c r="K392" s="38">
        <f t="shared" si="72"/>
        <v>116</v>
      </c>
      <c r="L392" s="38">
        <f t="shared" si="73"/>
        <v>19.756666666666668</v>
      </c>
      <c r="M392" s="38">
        <f t="shared" si="74"/>
        <v>96.243333333333339</v>
      </c>
      <c r="N392" s="38">
        <v>100.59</v>
      </c>
      <c r="O392" s="38">
        <f t="shared" si="75"/>
        <v>19.756666666666668</v>
      </c>
      <c r="P392" s="38">
        <f t="shared" si="76"/>
        <v>80.833333333333343</v>
      </c>
      <c r="Q392" s="38"/>
      <c r="R392" s="38">
        <v>346.32</v>
      </c>
      <c r="S392" s="38">
        <v>15.18</v>
      </c>
      <c r="T392" s="38">
        <f t="shared" si="65"/>
        <v>331.14</v>
      </c>
      <c r="U392" s="38">
        <v>276.24</v>
      </c>
      <c r="V392" s="38">
        <v>1.63</v>
      </c>
      <c r="W392" s="38">
        <f t="shared" si="77"/>
        <v>259.43</v>
      </c>
      <c r="X392" s="38" t="s">
        <v>658</v>
      </c>
      <c r="Y392" s="9"/>
    </row>
    <row r="393" spans="1:25" ht="30" x14ac:dyDescent="0.25">
      <c r="A393" s="5" t="s">
        <v>25</v>
      </c>
      <c r="B393" s="9" t="s">
        <v>27</v>
      </c>
      <c r="C393" s="9" t="s">
        <v>395</v>
      </c>
      <c r="D393" s="9" t="s">
        <v>459</v>
      </c>
      <c r="E393" s="22">
        <v>45889</v>
      </c>
      <c r="F393" s="9">
        <v>2</v>
      </c>
      <c r="G393" s="10" t="s">
        <v>51</v>
      </c>
      <c r="H393" s="9" t="s">
        <v>85</v>
      </c>
      <c r="I393" s="9">
        <v>126</v>
      </c>
      <c r="J393" s="9" t="s">
        <v>225</v>
      </c>
      <c r="K393" s="38">
        <f t="shared" si="72"/>
        <v>126</v>
      </c>
      <c r="L393" s="38">
        <f t="shared" si="73"/>
        <v>19.756666666666668</v>
      </c>
      <c r="M393" s="38">
        <f t="shared" si="74"/>
        <v>106.24333333333334</v>
      </c>
      <c r="N393" s="38">
        <v>121.29</v>
      </c>
      <c r="O393" s="38">
        <f t="shared" si="75"/>
        <v>19.756666666666668</v>
      </c>
      <c r="P393" s="38">
        <f t="shared" si="76"/>
        <v>101.53333333333333</v>
      </c>
      <c r="Q393" s="38"/>
      <c r="R393" s="38">
        <v>414.6</v>
      </c>
      <c r="S393" s="38">
        <v>15.18</v>
      </c>
      <c r="T393" s="38">
        <f t="shared" si="65"/>
        <v>399.42</v>
      </c>
      <c r="U393" s="38">
        <v>342.88</v>
      </c>
      <c r="V393" s="38">
        <v>1.62</v>
      </c>
      <c r="W393" s="38">
        <f t="shared" si="77"/>
        <v>326.08</v>
      </c>
      <c r="X393" s="38" t="s">
        <v>658</v>
      </c>
      <c r="Y393" s="9"/>
    </row>
    <row r="394" spans="1:25" hidden="1" x14ac:dyDescent="0.25">
      <c r="A394" s="5" t="s">
        <v>25</v>
      </c>
      <c r="B394" s="9" t="s">
        <v>28</v>
      </c>
      <c r="C394" s="9" t="s">
        <v>395</v>
      </c>
      <c r="D394" s="9" t="s">
        <v>465</v>
      </c>
      <c r="E394" s="22">
        <v>45889</v>
      </c>
      <c r="F394" s="9">
        <v>2</v>
      </c>
      <c r="G394" s="10" t="s">
        <v>51</v>
      </c>
      <c r="H394" s="9" t="s">
        <v>71</v>
      </c>
      <c r="I394" s="9">
        <v>108</v>
      </c>
      <c r="J394" s="9" t="s">
        <v>243</v>
      </c>
      <c r="K394" s="38">
        <f t="shared" si="72"/>
        <v>108</v>
      </c>
      <c r="L394" s="38">
        <f t="shared" si="73"/>
        <v>19.756666666666668</v>
      </c>
      <c r="M394" s="38">
        <f t="shared" si="74"/>
        <v>88.243333333333339</v>
      </c>
      <c r="N394" s="38">
        <v>106.7</v>
      </c>
      <c r="O394" s="38">
        <f t="shared" si="75"/>
        <v>19.756666666666668</v>
      </c>
      <c r="P394" s="38">
        <f t="shared" si="76"/>
        <v>86.943333333333328</v>
      </c>
      <c r="Q394" s="38"/>
      <c r="R394" s="38">
        <v>342.29</v>
      </c>
      <c r="S394" s="38">
        <v>15.18</v>
      </c>
      <c r="T394" s="38">
        <f t="shared" si="65"/>
        <v>327.11</v>
      </c>
      <c r="U394" s="38">
        <v>244.39</v>
      </c>
      <c r="V394" s="38">
        <v>1.6</v>
      </c>
      <c r="W394" s="38">
        <f t="shared" si="77"/>
        <v>227.60999999999999</v>
      </c>
      <c r="X394" s="38" t="s">
        <v>658</v>
      </c>
      <c r="Y394" s="9"/>
    </row>
    <row r="395" spans="1:25" hidden="1" x14ac:dyDescent="0.25">
      <c r="A395" s="5" t="s">
        <v>25</v>
      </c>
      <c r="B395" s="9" t="s">
        <v>29</v>
      </c>
      <c r="C395" s="9" t="s">
        <v>395</v>
      </c>
      <c r="D395" s="9" t="s">
        <v>469</v>
      </c>
      <c r="E395" s="22">
        <v>45889</v>
      </c>
      <c r="F395" s="9">
        <v>2</v>
      </c>
      <c r="G395" s="10" t="s">
        <v>51</v>
      </c>
      <c r="H395" s="9" t="s">
        <v>85</v>
      </c>
      <c r="I395" s="9">
        <v>99</v>
      </c>
      <c r="J395" s="9" t="s">
        <v>260</v>
      </c>
      <c r="K395" s="38">
        <f t="shared" si="72"/>
        <v>99</v>
      </c>
      <c r="L395" s="38">
        <f t="shared" si="73"/>
        <v>19.756666666666668</v>
      </c>
      <c r="M395" s="38">
        <f t="shared" si="74"/>
        <v>79.243333333333339</v>
      </c>
      <c r="N395" s="38">
        <v>97.43</v>
      </c>
      <c r="O395" s="38">
        <f t="shared" si="75"/>
        <v>19.756666666666668</v>
      </c>
      <c r="P395" s="38">
        <f t="shared" si="76"/>
        <v>77.673333333333346</v>
      </c>
      <c r="Q395" s="38"/>
      <c r="R395" s="38">
        <v>256.8</v>
      </c>
      <c r="S395" s="38">
        <v>15.18</v>
      </c>
      <c r="T395" s="38">
        <f t="shared" si="65"/>
        <v>241.62</v>
      </c>
      <c r="U395" s="38">
        <v>189.51</v>
      </c>
      <c r="V395" s="38">
        <v>2.11</v>
      </c>
      <c r="W395" s="38">
        <f t="shared" si="77"/>
        <v>172.21999999999997</v>
      </c>
      <c r="X395" s="38" t="s">
        <v>658</v>
      </c>
      <c r="Y395" s="9"/>
    </row>
    <row r="396" spans="1:25" hidden="1" x14ac:dyDescent="0.25">
      <c r="A396" s="5" t="s">
        <v>25</v>
      </c>
      <c r="B396" s="9" t="s">
        <v>30</v>
      </c>
      <c r="C396" s="9" t="s">
        <v>395</v>
      </c>
      <c r="D396" s="9" t="s">
        <v>473</v>
      </c>
      <c r="E396" s="22">
        <v>45889</v>
      </c>
      <c r="F396" s="9">
        <v>2</v>
      </c>
      <c r="G396" s="10" t="s">
        <v>51</v>
      </c>
      <c r="H396" s="9" t="s">
        <v>116</v>
      </c>
      <c r="I396" s="9">
        <v>124</v>
      </c>
      <c r="J396" s="9" t="s">
        <v>273</v>
      </c>
      <c r="K396" s="38">
        <f t="shared" si="72"/>
        <v>124</v>
      </c>
      <c r="L396" s="38">
        <f t="shared" si="73"/>
        <v>19.756666666666668</v>
      </c>
      <c r="M396" s="38">
        <f t="shared" si="74"/>
        <v>104.24333333333334</v>
      </c>
      <c r="N396" s="38">
        <v>118.56</v>
      </c>
      <c r="O396" s="38">
        <f t="shared" si="75"/>
        <v>19.756666666666668</v>
      </c>
      <c r="P396" s="38">
        <f t="shared" si="76"/>
        <v>98.803333333333342</v>
      </c>
      <c r="Q396" s="38"/>
      <c r="R396" s="38">
        <v>379.5</v>
      </c>
      <c r="S396" s="38">
        <v>15.18</v>
      </c>
      <c r="T396" s="38">
        <f t="shared" si="65"/>
        <v>364.32</v>
      </c>
      <c r="U396" s="38">
        <v>274.79000000000002</v>
      </c>
      <c r="V396" s="38">
        <v>1.66</v>
      </c>
      <c r="W396" s="38">
        <f t="shared" si="77"/>
        <v>257.95</v>
      </c>
      <c r="X396" s="38" t="s">
        <v>658</v>
      </c>
      <c r="Y396" s="9"/>
    </row>
    <row r="397" spans="1:25" hidden="1" x14ac:dyDescent="0.25">
      <c r="A397" s="5" t="s">
        <v>25</v>
      </c>
      <c r="B397" s="9" t="s">
        <v>31</v>
      </c>
      <c r="C397" s="9" t="s">
        <v>395</v>
      </c>
      <c r="D397" s="9" t="s">
        <v>477</v>
      </c>
      <c r="E397" s="22">
        <v>45888</v>
      </c>
      <c r="F397" s="9">
        <v>2</v>
      </c>
      <c r="G397" s="10" t="s">
        <v>51</v>
      </c>
      <c r="H397" s="9" t="s">
        <v>116</v>
      </c>
      <c r="I397" s="9">
        <v>128</v>
      </c>
      <c r="J397" s="9" t="s">
        <v>285</v>
      </c>
      <c r="K397" s="38">
        <f t="shared" si="72"/>
        <v>128</v>
      </c>
      <c r="L397" s="38">
        <f t="shared" si="73"/>
        <v>19.756666666666668</v>
      </c>
      <c r="M397" s="38">
        <f t="shared" si="74"/>
        <v>108.24333333333334</v>
      </c>
      <c r="N397" s="38">
        <v>113.01</v>
      </c>
      <c r="O397" s="38">
        <f t="shared" si="75"/>
        <v>19.756666666666668</v>
      </c>
      <c r="P397" s="38">
        <f t="shared" si="76"/>
        <v>93.25333333333333</v>
      </c>
      <c r="Q397" s="38"/>
      <c r="R397" s="38">
        <v>346.32</v>
      </c>
      <c r="S397" s="38">
        <v>15.18</v>
      </c>
      <c r="T397" s="38">
        <f t="shared" si="65"/>
        <v>331.14</v>
      </c>
      <c r="U397" s="38">
        <v>276.24</v>
      </c>
      <c r="V397" s="38">
        <v>1.63</v>
      </c>
      <c r="W397" s="38">
        <f t="shared" si="77"/>
        <v>259.43</v>
      </c>
      <c r="X397" s="38" t="s">
        <v>658</v>
      </c>
      <c r="Y397" s="9"/>
    </row>
    <row r="398" spans="1:25" ht="30" x14ac:dyDescent="0.25">
      <c r="A398" s="5" t="s">
        <v>25</v>
      </c>
      <c r="B398" s="9" t="s">
        <v>27</v>
      </c>
      <c r="C398" s="9" t="s">
        <v>396</v>
      </c>
      <c r="D398" s="9" t="s">
        <v>458</v>
      </c>
      <c r="E398" s="22">
        <v>45889</v>
      </c>
      <c r="F398" s="9">
        <v>2</v>
      </c>
      <c r="G398" s="10" t="s">
        <v>52</v>
      </c>
      <c r="H398" s="9" t="s">
        <v>85</v>
      </c>
      <c r="I398" s="9">
        <v>124</v>
      </c>
      <c r="J398" s="9" t="s">
        <v>225</v>
      </c>
      <c r="K398" s="38">
        <f t="shared" si="72"/>
        <v>124</v>
      </c>
      <c r="L398" s="38">
        <f t="shared" si="73"/>
        <v>19.756666666666668</v>
      </c>
      <c r="M398" s="38">
        <f t="shared" si="74"/>
        <v>104.24333333333334</v>
      </c>
      <c r="N398" s="38">
        <v>117.86</v>
      </c>
      <c r="O398" s="38">
        <f t="shared" si="75"/>
        <v>19.756666666666668</v>
      </c>
      <c r="P398" s="38">
        <f t="shared" si="76"/>
        <v>98.103333333333325</v>
      </c>
      <c r="Q398" s="38"/>
      <c r="R398" s="38">
        <v>388.64</v>
      </c>
      <c r="S398" s="38">
        <v>15.18</v>
      </c>
      <c r="T398" s="38">
        <f t="shared" si="65"/>
        <v>373.46</v>
      </c>
      <c r="U398" s="38">
        <v>336.1</v>
      </c>
      <c r="V398" s="38">
        <v>1.58</v>
      </c>
      <c r="W398" s="38">
        <f t="shared" si="77"/>
        <v>319.34000000000003</v>
      </c>
      <c r="X398" s="38" t="s">
        <v>658</v>
      </c>
      <c r="Y398" s="9"/>
    </row>
    <row r="399" spans="1:25" hidden="1" x14ac:dyDescent="0.25">
      <c r="A399" s="5" t="s">
        <v>25</v>
      </c>
      <c r="B399" s="9" t="s">
        <v>28</v>
      </c>
      <c r="C399" s="9" t="s">
        <v>396</v>
      </c>
      <c r="D399" s="9" t="s">
        <v>466</v>
      </c>
      <c r="E399" s="22">
        <v>45889</v>
      </c>
      <c r="F399" s="9">
        <v>2</v>
      </c>
      <c r="G399" s="10" t="s">
        <v>52</v>
      </c>
      <c r="H399" s="9" t="s">
        <v>71</v>
      </c>
      <c r="I399" s="9">
        <v>125</v>
      </c>
      <c r="J399" s="9" t="s">
        <v>243</v>
      </c>
      <c r="K399" s="38">
        <f t="shared" si="72"/>
        <v>125</v>
      </c>
      <c r="L399" s="38">
        <f t="shared" si="73"/>
        <v>19.756666666666668</v>
      </c>
      <c r="M399" s="38">
        <f t="shared" si="74"/>
        <v>105.24333333333334</v>
      </c>
      <c r="N399" s="38">
        <v>123.98</v>
      </c>
      <c r="O399" s="38">
        <f t="shared" si="75"/>
        <v>19.756666666666668</v>
      </c>
      <c r="P399" s="38">
        <f t="shared" si="76"/>
        <v>104.22333333333333</v>
      </c>
      <c r="Q399" s="38"/>
      <c r="R399" s="38">
        <v>420.2</v>
      </c>
      <c r="S399" s="38">
        <v>15.18</v>
      </c>
      <c r="T399" s="38">
        <f t="shared" si="65"/>
        <v>405.02</v>
      </c>
      <c r="U399" s="38">
        <v>316.04000000000002</v>
      </c>
      <c r="V399" s="38">
        <v>1.71</v>
      </c>
      <c r="W399" s="38">
        <f t="shared" si="77"/>
        <v>299.15000000000003</v>
      </c>
      <c r="X399" s="38" t="s">
        <v>658</v>
      </c>
      <c r="Y399" s="9"/>
    </row>
    <row r="400" spans="1:25" hidden="1" x14ac:dyDescent="0.25">
      <c r="A400" s="5" t="s">
        <v>25</v>
      </c>
      <c r="B400" s="9" t="s">
        <v>29</v>
      </c>
      <c r="C400" s="9" t="s">
        <v>396</v>
      </c>
      <c r="D400" s="9" t="s">
        <v>470</v>
      </c>
      <c r="E400" s="22">
        <v>45889</v>
      </c>
      <c r="F400" s="9">
        <v>2</v>
      </c>
      <c r="G400" s="10" t="s">
        <v>52</v>
      </c>
      <c r="H400" s="9" t="s">
        <v>85</v>
      </c>
      <c r="I400" s="9">
        <v>118</v>
      </c>
      <c r="J400" s="9" t="s">
        <v>261</v>
      </c>
      <c r="K400" s="38">
        <f t="shared" si="72"/>
        <v>118</v>
      </c>
      <c r="L400" s="38">
        <f t="shared" si="73"/>
        <v>19.756666666666668</v>
      </c>
      <c r="M400" s="38">
        <f t="shared" si="74"/>
        <v>98.243333333333339</v>
      </c>
      <c r="N400" s="38">
        <v>115.6</v>
      </c>
      <c r="O400" s="38">
        <f t="shared" si="75"/>
        <v>19.756666666666668</v>
      </c>
      <c r="P400" s="38">
        <f t="shared" si="76"/>
        <v>95.843333333333334</v>
      </c>
      <c r="Q400" s="38"/>
      <c r="R400" s="38">
        <v>306.89999999999998</v>
      </c>
      <c r="S400" s="38">
        <v>15.18</v>
      </c>
      <c r="T400" s="38">
        <f t="shared" si="65"/>
        <v>291.71999999999997</v>
      </c>
      <c r="U400" s="38">
        <v>209.17</v>
      </c>
      <c r="V400" s="38">
        <v>1.84</v>
      </c>
      <c r="W400" s="38">
        <f t="shared" si="77"/>
        <v>192.14999999999998</v>
      </c>
      <c r="X400" s="38" t="s">
        <v>658</v>
      </c>
      <c r="Y400" s="9"/>
    </row>
    <row r="401" spans="1:25" hidden="1" x14ac:dyDescent="0.25">
      <c r="A401" s="5" t="s">
        <v>25</v>
      </c>
      <c r="B401" s="9" t="s">
        <v>30</v>
      </c>
      <c r="C401" s="9" t="s">
        <v>396</v>
      </c>
      <c r="D401" s="9" t="s">
        <v>474</v>
      </c>
      <c r="E401" s="22">
        <v>45889</v>
      </c>
      <c r="F401" s="9">
        <v>2</v>
      </c>
      <c r="G401" s="10" t="s">
        <v>52</v>
      </c>
      <c r="H401" s="9" t="s">
        <v>85</v>
      </c>
      <c r="I401" s="9">
        <v>109</v>
      </c>
      <c r="J401" s="9" t="s">
        <v>274</v>
      </c>
      <c r="K401" s="38">
        <f t="shared" si="72"/>
        <v>109</v>
      </c>
      <c r="L401" s="38">
        <f t="shared" si="73"/>
        <v>19.756666666666668</v>
      </c>
      <c r="M401" s="38">
        <f t="shared" si="74"/>
        <v>89.243333333333339</v>
      </c>
      <c r="N401" s="38">
        <v>105.45</v>
      </c>
      <c r="O401" s="38">
        <f t="shared" si="75"/>
        <v>19.756666666666668</v>
      </c>
      <c r="P401" s="38">
        <f t="shared" si="76"/>
        <v>85.693333333333328</v>
      </c>
      <c r="Q401" s="38"/>
      <c r="R401" s="38">
        <v>326.45999999999998</v>
      </c>
      <c r="S401" s="38">
        <v>15.18</v>
      </c>
      <c r="T401" s="38">
        <f t="shared" si="65"/>
        <v>311.27999999999997</v>
      </c>
      <c r="U401" s="38">
        <v>254.96</v>
      </c>
      <c r="V401" s="38">
        <v>1.66</v>
      </c>
      <c r="W401" s="38">
        <f t="shared" si="77"/>
        <v>238.12</v>
      </c>
      <c r="X401" s="38" t="s">
        <v>658</v>
      </c>
      <c r="Y401" s="9"/>
    </row>
    <row r="402" spans="1:25" hidden="1" x14ac:dyDescent="0.25">
      <c r="A402" s="5" t="s">
        <v>25</v>
      </c>
      <c r="B402" s="9" t="s">
        <v>31</v>
      </c>
      <c r="C402" s="9" t="s">
        <v>396</v>
      </c>
      <c r="D402" s="9" t="s">
        <v>478</v>
      </c>
      <c r="E402" s="22">
        <v>45888</v>
      </c>
      <c r="F402" s="9">
        <v>2</v>
      </c>
      <c r="G402" s="10" t="s">
        <v>52</v>
      </c>
      <c r="H402" s="9" t="s">
        <v>116</v>
      </c>
      <c r="I402" s="9">
        <v>120</v>
      </c>
      <c r="J402" s="9" t="s">
        <v>286</v>
      </c>
      <c r="K402" s="38">
        <f t="shared" si="72"/>
        <v>120</v>
      </c>
      <c r="L402" s="38">
        <f t="shared" si="73"/>
        <v>19.756666666666668</v>
      </c>
      <c r="M402" s="38">
        <f t="shared" si="74"/>
        <v>100.24333333333334</v>
      </c>
      <c r="N402" s="38">
        <v>104.45</v>
      </c>
      <c r="O402" s="38">
        <f t="shared" si="75"/>
        <v>19.756666666666668</v>
      </c>
      <c r="P402" s="38">
        <f t="shared" si="76"/>
        <v>84.693333333333328</v>
      </c>
      <c r="Q402" s="38"/>
      <c r="R402" s="38">
        <v>362.38</v>
      </c>
      <c r="S402" s="38">
        <v>15.18</v>
      </c>
      <c r="T402" s="38">
        <f t="shared" si="65"/>
        <v>347.2</v>
      </c>
      <c r="U402" s="38">
        <v>289.33999999999997</v>
      </c>
      <c r="V402" s="38">
        <v>1.77</v>
      </c>
      <c r="W402" s="38">
        <f t="shared" si="77"/>
        <v>272.39</v>
      </c>
      <c r="X402" s="38" t="s">
        <v>658</v>
      </c>
      <c r="Y402" s="9"/>
    </row>
    <row r="403" spans="1:25" x14ac:dyDescent="0.25">
      <c r="A403" s="5" t="s">
        <v>25</v>
      </c>
      <c r="B403" s="9" t="s">
        <v>27</v>
      </c>
      <c r="C403" s="9" t="s">
        <v>397</v>
      </c>
      <c r="D403" s="9" t="s">
        <v>458</v>
      </c>
      <c r="E403" s="22">
        <v>45889</v>
      </c>
      <c r="F403" s="9">
        <v>2</v>
      </c>
      <c r="G403" s="10" t="s">
        <v>53</v>
      </c>
      <c r="H403" s="9" t="s">
        <v>85</v>
      </c>
      <c r="I403" s="9">
        <v>115</v>
      </c>
      <c r="J403" s="9" t="s">
        <v>226</v>
      </c>
      <c r="K403" s="38">
        <f t="shared" si="72"/>
        <v>115</v>
      </c>
      <c r="L403" s="38">
        <f t="shared" si="73"/>
        <v>19.756666666666668</v>
      </c>
      <c r="M403" s="38">
        <f t="shared" si="74"/>
        <v>95.243333333333339</v>
      </c>
      <c r="N403" s="38">
        <v>109.47</v>
      </c>
      <c r="O403" s="38">
        <f t="shared" si="75"/>
        <v>19.756666666666668</v>
      </c>
      <c r="P403" s="38">
        <f t="shared" si="76"/>
        <v>89.713333333333338</v>
      </c>
      <c r="Q403" s="38"/>
      <c r="R403" s="38">
        <v>388.64</v>
      </c>
      <c r="S403" s="38">
        <v>15.18</v>
      </c>
      <c r="T403" s="38">
        <f t="shared" si="65"/>
        <v>373.46</v>
      </c>
      <c r="U403" s="38">
        <v>336.1</v>
      </c>
      <c r="V403" s="38">
        <v>1.58</v>
      </c>
      <c r="W403" s="38">
        <f t="shared" si="77"/>
        <v>319.34000000000003</v>
      </c>
      <c r="X403" s="38" t="s">
        <v>658</v>
      </c>
      <c r="Y403" s="9"/>
    </row>
    <row r="404" spans="1:25" hidden="1" x14ac:dyDescent="0.25">
      <c r="A404" s="5" t="s">
        <v>25</v>
      </c>
      <c r="B404" s="9" t="s">
        <v>28</v>
      </c>
      <c r="C404" s="9" t="s">
        <v>397</v>
      </c>
      <c r="D404" s="9" t="s">
        <v>466</v>
      </c>
      <c r="E404" s="22">
        <v>45889</v>
      </c>
      <c r="F404" s="9">
        <v>2</v>
      </c>
      <c r="G404" s="10" t="s">
        <v>53</v>
      </c>
      <c r="H404" s="9" t="s">
        <v>71</v>
      </c>
      <c r="I404" s="9">
        <v>93</v>
      </c>
      <c r="J404" s="9" t="s">
        <v>172</v>
      </c>
      <c r="K404" s="38">
        <f t="shared" si="72"/>
        <v>93</v>
      </c>
      <c r="L404" s="38">
        <f t="shared" si="73"/>
        <v>19.756666666666668</v>
      </c>
      <c r="M404" s="38">
        <f t="shared" si="74"/>
        <v>73.243333333333339</v>
      </c>
      <c r="N404" s="38">
        <v>92.31</v>
      </c>
      <c r="O404" s="38">
        <f t="shared" si="75"/>
        <v>19.756666666666668</v>
      </c>
      <c r="P404" s="38">
        <f t="shared" si="76"/>
        <v>72.553333333333342</v>
      </c>
      <c r="Q404" s="38"/>
      <c r="R404" s="38">
        <v>420.2</v>
      </c>
      <c r="S404" s="38">
        <v>15.18</v>
      </c>
      <c r="T404" s="38">
        <f t="shared" si="65"/>
        <v>405.02</v>
      </c>
      <c r="U404" s="38">
        <v>316.04000000000002</v>
      </c>
      <c r="V404" s="38">
        <v>1.71</v>
      </c>
      <c r="W404" s="38">
        <f t="shared" si="77"/>
        <v>299.15000000000003</v>
      </c>
      <c r="X404" s="38" t="s">
        <v>658</v>
      </c>
      <c r="Y404" s="9"/>
    </row>
    <row r="405" spans="1:25" hidden="1" x14ac:dyDescent="0.25">
      <c r="A405" s="5" t="s">
        <v>25</v>
      </c>
      <c r="B405" s="9" t="s">
        <v>29</v>
      </c>
      <c r="C405" s="9" t="s">
        <v>397</v>
      </c>
      <c r="D405" s="9" t="s">
        <v>470</v>
      </c>
      <c r="E405" s="22">
        <v>45889</v>
      </c>
      <c r="F405" s="9">
        <v>2</v>
      </c>
      <c r="G405" s="10" t="s">
        <v>53</v>
      </c>
      <c r="H405" s="9" t="s">
        <v>85</v>
      </c>
      <c r="I405" s="9">
        <v>66</v>
      </c>
      <c r="J405" s="9" t="s">
        <v>262</v>
      </c>
      <c r="K405" s="38">
        <f t="shared" si="72"/>
        <v>66</v>
      </c>
      <c r="L405" s="38">
        <f t="shared" si="73"/>
        <v>19.756666666666668</v>
      </c>
      <c r="M405" s="38">
        <f t="shared" si="74"/>
        <v>46.243333333333332</v>
      </c>
      <c r="N405" s="38">
        <v>64.09</v>
      </c>
      <c r="O405" s="38">
        <f t="shared" si="75"/>
        <v>19.756666666666668</v>
      </c>
      <c r="P405" s="38">
        <f t="shared" si="76"/>
        <v>44.333333333333336</v>
      </c>
      <c r="Q405" s="38"/>
      <c r="R405" s="38">
        <v>306.89999999999998</v>
      </c>
      <c r="S405" s="38">
        <v>15.18</v>
      </c>
      <c r="T405" s="38">
        <f t="shared" ref="T405:T427" si="78">R405-S405</f>
        <v>291.71999999999997</v>
      </c>
      <c r="U405" s="38">
        <v>209.17</v>
      </c>
      <c r="V405" s="38">
        <v>1.84</v>
      </c>
      <c r="W405" s="38">
        <f t="shared" si="77"/>
        <v>192.14999999999998</v>
      </c>
      <c r="X405" s="38" t="s">
        <v>658</v>
      </c>
      <c r="Y405" s="9"/>
    </row>
    <row r="406" spans="1:25" ht="30" hidden="1" x14ac:dyDescent="0.25">
      <c r="A406" s="5" t="s">
        <v>25</v>
      </c>
      <c r="B406" s="9" t="s">
        <v>30</v>
      </c>
      <c r="C406" s="9" t="s">
        <v>397</v>
      </c>
      <c r="D406" s="9" t="s">
        <v>474</v>
      </c>
      <c r="E406" s="22">
        <v>45889</v>
      </c>
      <c r="F406" s="9">
        <v>2</v>
      </c>
      <c r="G406" s="10" t="s">
        <v>53</v>
      </c>
      <c r="H406" s="9" t="s">
        <v>85</v>
      </c>
      <c r="I406" s="9">
        <v>96</v>
      </c>
      <c r="J406" s="9" t="s">
        <v>275</v>
      </c>
      <c r="K406" s="38">
        <f t="shared" si="72"/>
        <v>96</v>
      </c>
      <c r="L406" s="38">
        <f t="shared" si="73"/>
        <v>19.756666666666668</v>
      </c>
      <c r="M406" s="38">
        <f t="shared" si="74"/>
        <v>76.243333333333339</v>
      </c>
      <c r="N406" s="38">
        <v>91.95</v>
      </c>
      <c r="O406" s="38">
        <f t="shared" si="75"/>
        <v>19.756666666666668</v>
      </c>
      <c r="P406" s="38">
        <f t="shared" si="76"/>
        <v>72.193333333333328</v>
      </c>
      <c r="Q406" s="38"/>
      <c r="R406" s="38">
        <v>326.45999999999998</v>
      </c>
      <c r="S406" s="38">
        <v>15.18</v>
      </c>
      <c r="T406" s="38">
        <f t="shared" si="78"/>
        <v>311.27999999999997</v>
      </c>
      <c r="U406" s="38">
        <v>254.96</v>
      </c>
      <c r="V406" s="38">
        <v>1.66</v>
      </c>
      <c r="W406" s="38">
        <f t="shared" si="77"/>
        <v>238.12</v>
      </c>
      <c r="X406" s="38" t="s">
        <v>658</v>
      </c>
      <c r="Y406" s="9"/>
    </row>
    <row r="407" spans="1:25" hidden="1" x14ac:dyDescent="0.25">
      <c r="A407" s="5" t="s">
        <v>25</v>
      </c>
      <c r="B407" s="9" t="s">
        <v>31</v>
      </c>
      <c r="C407" s="9" t="s">
        <v>397</v>
      </c>
      <c r="D407" s="9" t="s">
        <v>478</v>
      </c>
      <c r="E407" s="22">
        <v>45888</v>
      </c>
      <c r="F407" s="9">
        <v>2</v>
      </c>
      <c r="G407" s="10" t="s">
        <v>53</v>
      </c>
      <c r="H407" s="9" t="s">
        <v>116</v>
      </c>
      <c r="I407" s="9">
        <v>118</v>
      </c>
      <c r="J407" s="9" t="s">
        <v>287</v>
      </c>
      <c r="K407" s="38">
        <f t="shared" si="72"/>
        <v>118</v>
      </c>
      <c r="L407" s="38">
        <f t="shared" si="73"/>
        <v>19.756666666666668</v>
      </c>
      <c r="M407" s="38">
        <f t="shared" si="74"/>
        <v>98.243333333333339</v>
      </c>
      <c r="N407" s="38">
        <v>101.41</v>
      </c>
      <c r="O407" s="38">
        <f t="shared" si="75"/>
        <v>19.756666666666668</v>
      </c>
      <c r="P407" s="38">
        <f t="shared" si="76"/>
        <v>81.653333333333336</v>
      </c>
      <c r="Q407" s="38"/>
      <c r="R407" s="38">
        <v>362.38</v>
      </c>
      <c r="S407" s="38">
        <v>15.18</v>
      </c>
      <c r="T407" s="38">
        <f t="shared" si="78"/>
        <v>347.2</v>
      </c>
      <c r="U407" s="38">
        <v>289.33999999999997</v>
      </c>
      <c r="V407" s="38">
        <v>1.77</v>
      </c>
      <c r="W407" s="38">
        <f t="shared" si="77"/>
        <v>272.39</v>
      </c>
      <c r="X407" s="38" t="s">
        <v>658</v>
      </c>
      <c r="Y407" s="9"/>
    </row>
    <row r="408" spans="1:25" x14ac:dyDescent="0.25">
      <c r="A408" s="5" t="s">
        <v>25</v>
      </c>
      <c r="B408" s="9" t="s">
        <v>27</v>
      </c>
      <c r="C408" s="9" t="s">
        <v>398</v>
      </c>
      <c r="D408" s="9" t="s">
        <v>457</v>
      </c>
      <c r="E408" s="22">
        <v>45889</v>
      </c>
      <c r="F408" s="9">
        <v>2</v>
      </c>
      <c r="G408" s="10" t="s">
        <v>54</v>
      </c>
      <c r="H408" s="9" t="s">
        <v>85</v>
      </c>
      <c r="I408" s="9">
        <v>123</v>
      </c>
      <c r="J408" s="9" t="s">
        <v>227</v>
      </c>
      <c r="K408" s="38">
        <f t="shared" si="72"/>
        <v>123</v>
      </c>
      <c r="L408" s="38">
        <f t="shared" si="73"/>
        <v>19.756666666666668</v>
      </c>
      <c r="M408" s="38">
        <f t="shared" si="74"/>
        <v>103.24333333333334</v>
      </c>
      <c r="N408" s="38">
        <v>117.58</v>
      </c>
      <c r="O408" s="38">
        <f t="shared" si="75"/>
        <v>19.756666666666668</v>
      </c>
      <c r="P408" s="38">
        <f t="shared" si="76"/>
        <v>97.823333333333323</v>
      </c>
      <c r="Q408" s="38"/>
      <c r="R408" s="38">
        <v>386.22</v>
      </c>
      <c r="S408" s="38">
        <v>15.18</v>
      </c>
      <c r="T408" s="38">
        <f t="shared" si="78"/>
        <v>371.04</v>
      </c>
      <c r="U408" s="38">
        <v>333.2</v>
      </c>
      <c r="V408" s="38">
        <v>1.66</v>
      </c>
      <c r="W408" s="38">
        <f t="shared" si="77"/>
        <v>316.35999999999996</v>
      </c>
      <c r="X408" s="38" t="s">
        <v>658</v>
      </c>
      <c r="Y408" s="9"/>
    </row>
    <row r="409" spans="1:25" hidden="1" x14ac:dyDescent="0.25">
      <c r="A409" s="5" t="s">
        <v>25</v>
      </c>
      <c r="B409" s="9" t="s">
        <v>28</v>
      </c>
      <c r="C409" s="9" t="s">
        <v>398</v>
      </c>
      <c r="D409" s="9" t="s">
        <v>467</v>
      </c>
      <c r="E409" s="22">
        <v>45889</v>
      </c>
      <c r="F409" s="9">
        <v>2</v>
      </c>
      <c r="G409" s="10" t="s">
        <v>54</v>
      </c>
      <c r="H409" s="9" t="s">
        <v>71</v>
      </c>
      <c r="I409" s="9">
        <v>277</v>
      </c>
      <c r="J409" s="9" t="s">
        <v>244</v>
      </c>
      <c r="K409" s="38">
        <f t="shared" si="72"/>
        <v>277</v>
      </c>
      <c r="L409" s="38">
        <f t="shared" si="73"/>
        <v>19.756666666666668</v>
      </c>
      <c r="M409" s="38">
        <f t="shared" si="74"/>
        <v>257.24333333333334</v>
      </c>
      <c r="N409" s="38">
        <v>276.67</v>
      </c>
      <c r="O409" s="38">
        <f t="shared" si="75"/>
        <v>19.756666666666668</v>
      </c>
      <c r="P409" s="38">
        <f t="shared" si="76"/>
        <v>256.91333333333336</v>
      </c>
      <c r="Q409" s="38"/>
      <c r="R409" s="38">
        <v>566.24</v>
      </c>
      <c r="S409" s="38">
        <v>15.18</v>
      </c>
      <c r="T409" s="38">
        <f t="shared" si="78"/>
        <v>551.06000000000006</v>
      </c>
      <c r="U409" s="38">
        <v>256.55</v>
      </c>
      <c r="V409" s="38">
        <v>1.6</v>
      </c>
      <c r="W409" s="38">
        <f t="shared" si="77"/>
        <v>239.77</v>
      </c>
      <c r="X409" s="38" t="s">
        <v>658</v>
      </c>
      <c r="Y409" s="9"/>
    </row>
    <row r="410" spans="1:25" hidden="1" x14ac:dyDescent="0.25">
      <c r="A410" s="5" t="s">
        <v>25</v>
      </c>
      <c r="B410" s="9" t="s">
        <v>29</v>
      </c>
      <c r="C410" s="9" t="s">
        <v>398</v>
      </c>
      <c r="D410" s="9" t="s">
        <v>471</v>
      </c>
      <c r="E410" s="22">
        <v>45889</v>
      </c>
      <c r="F410" s="9">
        <v>2</v>
      </c>
      <c r="G410" s="10" t="s">
        <v>54</v>
      </c>
      <c r="H410" s="9" t="s">
        <v>85</v>
      </c>
      <c r="I410" s="9">
        <v>88</v>
      </c>
      <c r="J410" s="9" t="s">
        <v>263</v>
      </c>
      <c r="K410" s="38">
        <f t="shared" si="72"/>
        <v>88</v>
      </c>
      <c r="L410" s="38">
        <f t="shared" si="73"/>
        <v>19.756666666666668</v>
      </c>
      <c r="M410" s="38">
        <f t="shared" si="74"/>
        <v>68.243333333333339</v>
      </c>
      <c r="N410" s="38">
        <v>85.18</v>
      </c>
      <c r="O410" s="38">
        <f t="shared" si="75"/>
        <v>19.756666666666668</v>
      </c>
      <c r="P410" s="38">
        <f t="shared" si="76"/>
        <v>65.423333333333346</v>
      </c>
      <c r="Q410" s="38"/>
      <c r="R410" s="38">
        <v>372.09</v>
      </c>
      <c r="S410" s="38">
        <v>15.18</v>
      </c>
      <c r="T410" s="38">
        <f t="shared" si="78"/>
        <v>356.90999999999997</v>
      </c>
      <c r="U410" s="38">
        <v>281.64999999999998</v>
      </c>
      <c r="V410" s="38">
        <v>2.2599999999999998</v>
      </c>
      <c r="W410" s="38">
        <f t="shared" si="77"/>
        <v>264.20999999999998</v>
      </c>
      <c r="X410" s="38" t="s">
        <v>658</v>
      </c>
      <c r="Y410" s="9"/>
    </row>
    <row r="411" spans="1:25" hidden="1" x14ac:dyDescent="0.25">
      <c r="A411" s="5" t="s">
        <v>25</v>
      </c>
      <c r="B411" s="9" t="s">
        <v>30</v>
      </c>
      <c r="C411" s="9" t="s">
        <v>398</v>
      </c>
      <c r="D411" s="9" t="s">
        <v>475</v>
      </c>
      <c r="E411" s="22">
        <v>45889</v>
      </c>
      <c r="F411" s="9">
        <v>2</v>
      </c>
      <c r="G411" s="10" t="s">
        <v>54</v>
      </c>
      <c r="H411" s="9" t="s">
        <v>85</v>
      </c>
      <c r="I411" s="9">
        <v>59</v>
      </c>
      <c r="J411" s="9" t="s">
        <v>276</v>
      </c>
      <c r="K411" s="38">
        <f t="shared" si="72"/>
        <v>59</v>
      </c>
      <c r="L411" s="38">
        <f t="shared" si="73"/>
        <v>19.756666666666668</v>
      </c>
      <c r="M411" s="38">
        <f t="shared" si="74"/>
        <v>39.243333333333332</v>
      </c>
      <c r="N411" s="38">
        <v>56.8</v>
      </c>
      <c r="O411" s="38">
        <f t="shared" si="75"/>
        <v>19.756666666666668</v>
      </c>
      <c r="P411" s="38">
        <f t="shared" si="76"/>
        <v>37.043333333333329</v>
      </c>
      <c r="Q411" s="38"/>
      <c r="R411" s="38">
        <v>256.20999999999998</v>
      </c>
      <c r="S411" s="38">
        <v>15.18</v>
      </c>
      <c r="T411" s="38">
        <f t="shared" si="78"/>
        <v>241.02999999999997</v>
      </c>
      <c r="U411" s="38">
        <v>170.44</v>
      </c>
      <c r="V411" s="38">
        <v>2.54</v>
      </c>
      <c r="W411" s="38">
        <f t="shared" si="77"/>
        <v>152.72</v>
      </c>
      <c r="X411" s="38" t="s">
        <v>658</v>
      </c>
      <c r="Y411" s="9"/>
    </row>
    <row r="412" spans="1:25" ht="30" hidden="1" x14ac:dyDescent="0.25">
      <c r="A412" s="5" t="s">
        <v>25</v>
      </c>
      <c r="B412" s="9" t="s">
        <v>31</v>
      </c>
      <c r="C412" s="9" t="s">
        <v>398</v>
      </c>
      <c r="D412" s="9" t="s">
        <v>479</v>
      </c>
      <c r="E412" s="22">
        <v>45888</v>
      </c>
      <c r="F412" s="9">
        <v>2</v>
      </c>
      <c r="G412" s="10" t="s">
        <v>54</v>
      </c>
      <c r="H412" s="9" t="s">
        <v>116</v>
      </c>
      <c r="I412" s="9">
        <v>144</v>
      </c>
      <c r="J412" s="9" t="s">
        <v>288</v>
      </c>
      <c r="K412" s="38">
        <f t="shared" si="72"/>
        <v>144</v>
      </c>
      <c r="L412" s="38">
        <f t="shared" si="73"/>
        <v>19.756666666666668</v>
      </c>
      <c r="M412" s="38">
        <f t="shared" si="74"/>
        <v>124.24333333333334</v>
      </c>
      <c r="N412" s="38">
        <v>131.29</v>
      </c>
      <c r="O412" s="38">
        <f t="shared" si="75"/>
        <v>19.756666666666668</v>
      </c>
      <c r="P412" s="38">
        <f t="shared" si="76"/>
        <v>111.53333333333333</v>
      </c>
      <c r="Q412" s="38"/>
      <c r="R412" s="38">
        <v>337.7</v>
      </c>
      <c r="S412" s="38">
        <v>15.18</v>
      </c>
      <c r="T412" s="38">
        <f t="shared" si="78"/>
        <v>322.52</v>
      </c>
      <c r="U412" s="38">
        <v>239.81</v>
      </c>
      <c r="V412" s="38">
        <v>1.7</v>
      </c>
      <c r="W412" s="38">
        <f t="shared" si="77"/>
        <v>222.93</v>
      </c>
      <c r="X412" s="38" t="s">
        <v>658</v>
      </c>
      <c r="Y412" s="9"/>
    </row>
    <row r="413" spans="1:25" x14ac:dyDescent="0.25">
      <c r="A413" s="5" t="s">
        <v>25</v>
      </c>
      <c r="B413" s="9" t="s">
        <v>27</v>
      </c>
      <c r="C413" s="9" t="s">
        <v>399</v>
      </c>
      <c r="D413" s="9" t="s">
        <v>457</v>
      </c>
      <c r="E413" s="22">
        <v>45889</v>
      </c>
      <c r="F413" s="9">
        <v>2</v>
      </c>
      <c r="G413" s="10" t="s">
        <v>55</v>
      </c>
      <c r="H413" s="9" t="s">
        <v>85</v>
      </c>
      <c r="I413" s="9">
        <v>113</v>
      </c>
      <c r="J413" s="9" t="s">
        <v>228</v>
      </c>
      <c r="K413" s="38">
        <f t="shared" si="72"/>
        <v>113</v>
      </c>
      <c r="L413" s="38">
        <f t="shared" si="73"/>
        <v>19.756666666666668</v>
      </c>
      <c r="M413" s="38">
        <f t="shared" si="74"/>
        <v>93.243333333333339</v>
      </c>
      <c r="N413" s="38">
        <v>108.37</v>
      </c>
      <c r="O413" s="38">
        <f t="shared" si="75"/>
        <v>19.756666666666668</v>
      </c>
      <c r="P413" s="38">
        <f t="shared" si="76"/>
        <v>88.613333333333344</v>
      </c>
      <c r="Q413" s="38"/>
      <c r="R413" s="38">
        <v>386.22</v>
      </c>
      <c r="S413" s="38">
        <v>15.18</v>
      </c>
      <c r="T413" s="38">
        <f t="shared" si="78"/>
        <v>371.04</v>
      </c>
      <c r="U413" s="38">
        <v>333.2</v>
      </c>
      <c r="V413" s="38">
        <v>1.66</v>
      </c>
      <c r="W413" s="38">
        <f t="shared" si="77"/>
        <v>316.35999999999996</v>
      </c>
      <c r="X413" s="38" t="s">
        <v>658</v>
      </c>
      <c r="Y413" s="9"/>
    </row>
    <row r="414" spans="1:25" hidden="1" x14ac:dyDescent="0.25">
      <c r="A414" s="5" t="s">
        <v>25</v>
      </c>
      <c r="B414" s="9" t="s">
        <v>28</v>
      </c>
      <c r="C414" s="9" t="s">
        <v>399</v>
      </c>
      <c r="D414" s="9" t="s">
        <v>467</v>
      </c>
      <c r="E414" s="22">
        <v>45889</v>
      </c>
      <c r="F414" s="9">
        <v>2</v>
      </c>
      <c r="G414" s="10" t="s">
        <v>55</v>
      </c>
      <c r="H414" s="9" t="s">
        <v>85</v>
      </c>
      <c r="I414" s="9">
        <v>91</v>
      </c>
      <c r="J414" s="9" t="s">
        <v>245</v>
      </c>
      <c r="K414" s="38">
        <f t="shared" si="72"/>
        <v>91</v>
      </c>
      <c r="L414" s="38">
        <f t="shared" si="73"/>
        <v>19.756666666666668</v>
      </c>
      <c r="M414" s="38">
        <f t="shared" si="74"/>
        <v>71.243333333333339</v>
      </c>
      <c r="N414" s="38">
        <v>89.07</v>
      </c>
      <c r="O414" s="38">
        <f t="shared" si="75"/>
        <v>19.756666666666668</v>
      </c>
      <c r="P414" s="38">
        <f t="shared" si="76"/>
        <v>69.313333333333333</v>
      </c>
      <c r="Q414" s="38"/>
      <c r="R414" s="38">
        <v>566.24</v>
      </c>
      <c r="S414" s="38">
        <v>15.18</v>
      </c>
      <c r="T414" s="38">
        <f t="shared" si="78"/>
        <v>551.06000000000006</v>
      </c>
      <c r="U414" s="38">
        <v>256.55</v>
      </c>
      <c r="V414" s="38">
        <v>1.6</v>
      </c>
      <c r="W414" s="38">
        <f t="shared" si="77"/>
        <v>239.77</v>
      </c>
      <c r="X414" s="38" t="s">
        <v>658</v>
      </c>
      <c r="Y414" s="9"/>
    </row>
    <row r="415" spans="1:25" hidden="1" x14ac:dyDescent="0.25">
      <c r="A415" s="5" t="s">
        <v>25</v>
      </c>
      <c r="B415" s="9" t="s">
        <v>29</v>
      </c>
      <c r="C415" s="9" t="s">
        <v>399</v>
      </c>
      <c r="D415" s="9" t="s">
        <v>471</v>
      </c>
      <c r="E415" s="22">
        <v>45889</v>
      </c>
      <c r="F415" s="9">
        <v>2</v>
      </c>
      <c r="G415" s="10" t="s">
        <v>55</v>
      </c>
      <c r="H415" s="9" t="s">
        <v>85</v>
      </c>
      <c r="I415" s="9">
        <v>108</v>
      </c>
      <c r="J415" s="9" t="s">
        <v>264</v>
      </c>
      <c r="K415" s="38">
        <f t="shared" si="72"/>
        <v>108</v>
      </c>
      <c r="L415" s="38">
        <f t="shared" si="73"/>
        <v>19.756666666666668</v>
      </c>
      <c r="M415" s="38">
        <f t="shared" si="74"/>
        <v>88.243333333333339</v>
      </c>
      <c r="N415" s="38">
        <v>103.83</v>
      </c>
      <c r="O415" s="38">
        <f t="shared" si="75"/>
        <v>19.756666666666668</v>
      </c>
      <c r="P415" s="38">
        <f t="shared" si="76"/>
        <v>84.073333333333323</v>
      </c>
      <c r="Q415" s="38"/>
      <c r="R415" s="38">
        <v>372.09</v>
      </c>
      <c r="S415" s="38">
        <v>15.18</v>
      </c>
      <c r="T415" s="38">
        <f t="shared" si="78"/>
        <v>356.90999999999997</v>
      </c>
      <c r="U415" s="38">
        <v>281.64999999999998</v>
      </c>
      <c r="V415" s="38">
        <v>2.2599999999999998</v>
      </c>
      <c r="W415" s="38">
        <f t="shared" si="77"/>
        <v>264.20999999999998</v>
      </c>
      <c r="X415" s="38" t="s">
        <v>658</v>
      </c>
      <c r="Y415" s="9"/>
    </row>
    <row r="416" spans="1:25" hidden="1" x14ac:dyDescent="0.25">
      <c r="A416" s="5" t="s">
        <v>25</v>
      </c>
      <c r="B416" s="9" t="s">
        <v>30</v>
      </c>
      <c r="C416" s="9" t="s">
        <v>399</v>
      </c>
      <c r="D416" s="9" t="s">
        <v>475</v>
      </c>
      <c r="E416" s="22">
        <v>45889</v>
      </c>
      <c r="F416" s="9">
        <v>2</v>
      </c>
      <c r="G416" s="10" t="s">
        <v>55</v>
      </c>
      <c r="H416" s="9" t="s">
        <v>85</v>
      </c>
      <c r="I416" s="9">
        <v>80</v>
      </c>
      <c r="J416" s="9" t="s">
        <v>277</v>
      </c>
      <c r="K416" s="38">
        <f t="shared" si="72"/>
        <v>80</v>
      </c>
      <c r="L416" s="38">
        <f t="shared" si="73"/>
        <v>19.756666666666668</v>
      </c>
      <c r="M416" s="38">
        <f t="shared" si="74"/>
        <v>60.243333333333332</v>
      </c>
      <c r="N416" s="38">
        <v>77.47</v>
      </c>
      <c r="O416" s="38">
        <f t="shared" si="75"/>
        <v>19.756666666666668</v>
      </c>
      <c r="P416" s="38">
        <f t="shared" si="76"/>
        <v>57.713333333333331</v>
      </c>
      <c r="Q416" s="38"/>
      <c r="R416" s="38">
        <v>256.20999999999998</v>
      </c>
      <c r="S416" s="38">
        <v>15.18</v>
      </c>
      <c r="T416" s="38">
        <f t="shared" si="78"/>
        <v>241.02999999999997</v>
      </c>
      <c r="U416" s="38">
        <v>170.44</v>
      </c>
      <c r="V416" s="38">
        <v>2.54</v>
      </c>
      <c r="W416" s="38">
        <f t="shared" si="77"/>
        <v>152.72</v>
      </c>
      <c r="X416" s="38" t="s">
        <v>658</v>
      </c>
      <c r="Y416" s="9"/>
    </row>
    <row r="417" spans="1:25" hidden="1" x14ac:dyDescent="0.25">
      <c r="A417" s="5" t="s">
        <v>25</v>
      </c>
      <c r="B417" s="9" t="s">
        <v>31</v>
      </c>
      <c r="C417" s="9" t="s">
        <v>399</v>
      </c>
      <c r="D417" s="9" t="s">
        <v>479</v>
      </c>
      <c r="E417" s="22">
        <v>45888</v>
      </c>
      <c r="F417" s="9">
        <v>2</v>
      </c>
      <c r="G417" s="10" t="s">
        <v>55</v>
      </c>
      <c r="H417" s="9" t="s">
        <v>116</v>
      </c>
      <c r="I417" s="9">
        <v>74</v>
      </c>
      <c r="J417" s="9" t="s">
        <v>289</v>
      </c>
      <c r="K417" s="38">
        <f t="shared" si="72"/>
        <v>74</v>
      </c>
      <c r="L417" s="38">
        <f t="shared" si="73"/>
        <v>19.756666666666668</v>
      </c>
      <c r="M417" s="38">
        <f t="shared" si="74"/>
        <v>54.243333333333332</v>
      </c>
      <c r="N417" s="38">
        <v>64.73</v>
      </c>
      <c r="O417" s="38">
        <f t="shared" si="75"/>
        <v>19.756666666666668</v>
      </c>
      <c r="P417" s="38">
        <f t="shared" si="76"/>
        <v>44.973333333333336</v>
      </c>
      <c r="Q417" s="38"/>
      <c r="R417" s="38">
        <v>337.7</v>
      </c>
      <c r="S417" s="38">
        <v>15.18</v>
      </c>
      <c r="T417" s="38">
        <f t="shared" si="78"/>
        <v>322.52</v>
      </c>
      <c r="U417" s="38">
        <v>239.81</v>
      </c>
      <c r="V417" s="38">
        <v>1.7</v>
      </c>
      <c r="W417" s="38">
        <f t="shared" si="77"/>
        <v>222.93</v>
      </c>
      <c r="X417" s="38" t="s">
        <v>658</v>
      </c>
      <c r="Y417" s="9"/>
    </row>
    <row r="418" spans="1:25" ht="30" x14ac:dyDescent="0.25">
      <c r="A418" s="5" t="s">
        <v>25</v>
      </c>
      <c r="B418" s="9" t="s">
        <v>27</v>
      </c>
      <c r="C418" s="9" t="s">
        <v>400</v>
      </c>
      <c r="D418" s="9" t="s">
        <v>456</v>
      </c>
      <c r="E418" s="22">
        <v>45889</v>
      </c>
      <c r="F418" s="9">
        <v>2</v>
      </c>
      <c r="G418" s="10" t="s">
        <v>56</v>
      </c>
      <c r="H418" s="9" t="s">
        <v>116</v>
      </c>
      <c r="I418" s="9">
        <v>109</v>
      </c>
      <c r="J418" s="9" t="s">
        <v>229</v>
      </c>
      <c r="K418" s="38">
        <f t="shared" si="72"/>
        <v>109</v>
      </c>
      <c r="L418" s="38">
        <f t="shared" si="73"/>
        <v>19.756666666666668</v>
      </c>
      <c r="M418" s="38">
        <f t="shared" si="74"/>
        <v>89.243333333333339</v>
      </c>
      <c r="N418" s="38">
        <v>106.07</v>
      </c>
      <c r="O418" s="38">
        <f t="shared" si="75"/>
        <v>19.756666666666668</v>
      </c>
      <c r="P418" s="38">
        <f t="shared" si="76"/>
        <v>86.313333333333333</v>
      </c>
      <c r="Q418" s="38"/>
      <c r="R418" s="38">
        <v>302.51</v>
      </c>
      <c r="S418" s="38">
        <v>15.18</v>
      </c>
      <c r="T418" s="38">
        <f t="shared" si="78"/>
        <v>287.33</v>
      </c>
      <c r="U418" s="38">
        <v>267.57</v>
      </c>
      <c r="V418" s="38">
        <v>1.59</v>
      </c>
      <c r="W418" s="38">
        <f t="shared" si="77"/>
        <v>250.79999999999998</v>
      </c>
      <c r="X418" s="38" t="s">
        <v>658</v>
      </c>
      <c r="Y418" s="9"/>
    </row>
    <row r="419" spans="1:25" hidden="1" x14ac:dyDescent="0.25">
      <c r="A419" s="5" t="s">
        <v>25</v>
      </c>
      <c r="B419" s="9" t="s">
        <v>28</v>
      </c>
      <c r="C419" s="9" t="s">
        <v>400</v>
      </c>
      <c r="D419" s="9" t="s">
        <v>468</v>
      </c>
      <c r="E419" s="22">
        <v>45889</v>
      </c>
      <c r="F419" s="9">
        <v>2</v>
      </c>
      <c r="G419" s="10" t="s">
        <v>56</v>
      </c>
      <c r="H419" s="9" t="s">
        <v>85</v>
      </c>
      <c r="I419" s="9">
        <v>116</v>
      </c>
      <c r="J419" s="9" t="s">
        <v>246</v>
      </c>
      <c r="K419" s="38">
        <f t="shared" si="72"/>
        <v>116</v>
      </c>
      <c r="L419" s="38">
        <f t="shared" si="73"/>
        <v>19.756666666666668</v>
      </c>
      <c r="M419" s="38">
        <f t="shared" si="74"/>
        <v>96.243333333333339</v>
      </c>
      <c r="N419" s="38">
        <v>113.24</v>
      </c>
      <c r="O419" s="38">
        <f t="shared" si="75"/>
        <v>19.756666666666668</v>
      </c>
      <c r="P419" s="38">
        <f t="shared" si="76"/>
        <v>93.48333333333332</v>
      </c>
      <c r="Q419" s="38"/>
      <c r="R419" s="38">
        <v>428.65</v>
      </c>
      <c r="S419" s="38">
        <v>15.18</v>
      </c>
      <c r="T419" s="38">
        <f t="shared" si="78"/>
        <v>413.46999999999997</v>
      </c>
      <c r="U419" s="38">
        <v>329.34</v>
      </c>
      <c r="V419" s="38">
        <v>1.65</v>
      </c>
      <c r="W419" s="38">
        <f t="shared" si="77"/>
        <v>312.51</v>
      </c>
      <c r="X419" s="38" t="s">
        <v>658</v>
      </c>
      <c r="Y419" s="9"/>
    </row>
    <row r="420" spans="1:25" hidden="1" x14ac:dyDescent="0.25">
      <c r="A420" s="5" t="s">
        <v>25</v>
      </c>
      <c r="B420" s="9" t="s">
        <v>29</v>
      </c>
      <c r="C420" s="9" t="s">
        <v>400</v>
      </c>
      <c r="D420" s="9" t="s">
        <v>472</v>
      </c>
      <c r="E420" s="22">
        <v>45889</v>
      </c>
      <c r="F420" s="9">
        <v>2</v>
      </c>
      <c r="G420" s="10" t="s">
        <v>56</v>
      </c>
      <c r="H420" s="9" t="s">
        <v>85</v>
      </c>
      <c r="I420" s="9">
        <v>107</v>
      </c>
      <c r="J420" s="9" t="s">
        <v>264</v>
      </c>
      <c r="K420" s="38">
        <f t="shared" si="72"/>
        <v>107</v>
      </c>
      <c r="L420" s="38">
        <f t="shared" si="73"/>
        <v>19.756666666666668</v>
      </c>
      <c r="M420" s="38">
        <f t="shared" si="74"/>
        <v>87.243333333333339</v>
      </c>
      <c r="N420" s="38">
        <v>103.21</v>
      </c>
      <c r="O420" s="38">
        <f t="shared" si="75"/>
        <v>19.756666666666668</v>
      </c>
      <c r="P420" s="38">
        <f t="shared" si="76"/>
        <v>83.453333333333319</v>
      </c>
      <c r="Q420" s="38"/>
      <c r="R420" s="38">
        <v>374.19</v>
      </c>
      <c r="S420" s="38">
        <v>15.18</v>
      </c>
      <c r="T420" s="38">
        <f t="shared" si="78"/>
        <v>359.01</v>
      </c>
      <c r="U420" s="38">
        <v>308.81</v>
      </c>
      <c r="V420" s="38">
        <v>1.8</v>
      </c>
      <c r="W420" s="38">
        <f t="shared" si="77"/>
        <v>291.83</v>
      </c>
      <c r="X420" s="38" t="s">
        <v>658</v>
      </c>
      <c r="Y420" s="9"/>
    </row>
    <row r="421" spans="1:25" hidden="1" x14ac:dyDescent="0.25">
      <c r="A421" s="5" t="s">
        <v>25</v>
      </c>
      <c r="B421" s="9" t="s">
        <v>30</v>
      </c>
      <c r="C421" s="9" t="s">
        <v>400</v>
      </c>
      <c r="D421" s="9" t="s">
        <v>476</v>
      </c>
      <c r="E421" s="22">
        <v>45889</v>
      </c>
      <c r="F421" s="9">
        <v>2</v>
      </c>
      <c r="G421" s="10" t="s">
        <v>56</v>
      </c>
      <c r="H421" s="9" t="s">
        <v>85</v>
      </c>
      <c r="I421" s="9">
        <v>113</v>
      </c>
      <c r="J421" s="9" t="s">
        <v>277</v>
      </c>
      <c r="K421" s="38">
        <f t="shared" si="72"/>
        <v>113</v>
      </c>
      <c r="L421" s="38">
        <f t="shared" si="73"/>
        <v>19.756666666666668</v>
      </c>
      <c r="M421" s="38">
        <f t="shared" si="74"/>
        <v>93.243333333333339</v>
      </c>
      <c r="N421" s="38">
        <v>110.12</v>
      </c>
      <c r="O421" s="38">
        <f t="shared" si="75"/>
        <v>19.756666666666668</v>
      </c>
      <c r="P421" s="38">
        <f t="shared" si="76"/>
        <v>90.363333333333344</v>
      </c>
      <c r="Q421" s="38"/>
      <c r="R421" s="38">
        <v>350.36</v>
      </c>
      <c r="S421" s="38">
        <v>15.18</v>
      </c>
      <c r="T421" s="38">
        <f t="shared" si="78"/>
        <v>335.18</v>
      </c>
      <c r="U421" s="38">
        <v>201.09</v>
      </c>
      <c r="V421" s="38">
        <v>1.67</v>
      </c>
      <c r="W421" s="38">
        <f t="shared" si="77"/>
        <v>184.24</v>
      </c>
      <c r="X421" s="38" t="s">
        <v>658</v>
      </c>
      <c r="Y421" s="9"/>
    </row>
    <row r="422" spans="1:25" hidden="1" x14ac:dyDescent="0.25">
      <c r="A422" s="5" t="s">
        <v>25</v>
      </c>
      <c r="B422" s="9" t="s">
        <v>31</v>
      </c>
      <c r="C422" s="9" t="s">
        <v>400</v>
      </c>
      <c r="D422" s="9" t="s">
        <v>480</v>
      </c>
      <c r="E422" s="22">
        <v>45888</v>
      </c>
      <c r="F422" s="9">
        <v>2</v>
      </c>
      <c r="G422" s="10" t="s">
        <v>56</v>
      </c>
      <c r="H422" s="9" t="s">
        <v>116</v>
      </c>
      <c r="I422" s="9">
        <v>70</v>
      </c>
      <c r="J422" s="9" t="s">
        <v>290</v>
      </c>
      <c r="K422" s="38">
        <f t="shared" si="72"/>
        <v>70</v>
      </c>
      <c r="L422" s="38">
        <f t="shared" si="73"/>
        <v>19.756666666666668</v>
      </c>
      <c r="M422" s="38">
        <f t="shared" si="74"/>
        <v>50.243333333333332</v>
      </c>
      <c r="N422" s="38">
        <v>61.33</v>
      </c>
      <c r="O422" s="38">
        <f t="shared" si="75"/>
        <v>19.756666666666668</v>
      </c>
      <c r="P422" s="38">
        <f t="shared" si="76"/>
        <v>41.573333333333331</v>
      </c>
      <c r="Q422" s="38"/>
      <c r="R422" s="38">
        <v>251.65</v>
      </c>
      <c r="S422" s="38">
        <v>15.18</v>
      </c>
      <c r="T422" s="38">
        <f t="shared" si="78"/>
        <v>236.47</v>
      </c>
      <c r="U422" s="38">
        <v>195.25</v>
      </c>
      <c r="V422" s="38">
        <v>1.77</v>
      </c>
      <c r="W422" s="38">
        <f t="shared" si="77"/>
        <v>178.29999999999998</v>
      </c>
      <c r="X422" s="38" t="s">
        <v>658</v>
      </c>
      <c r="Y422" s="9"/>
    </row>
    <row r="423" spans="1:25" ht="30" x14ac:dyDescent="0.25">
      <c r="A423" s="5" t="s">
        <v>25</v>
      </c>
      <c r="B423" s="9" t="s">
        <v>27</v>
      </c>
      <c r="C423" s="9" t="s">
        <v>32</v>
      </c>
      <c r="D423" s="9" t="s">
        <v>456</v>
      </c>
      <c r="E423" s="22">
        <v>45889</v>
      </c>
      <c r="F423" s="9">
        <v>2</v>
      </c>
      <c r="G423" s="10" t="s">
        <v>57</v>
      </c>
      <c r="H423" s="9" t="s">
        <v>116</v>
      </c>
      <c r="I423" s="9">
        <v>86</v>
      </c>
      <c r="J423" s="9" t="s">
        <v>229</v>
      </c>
      <c r="K423" s="38">
        <f t="shared" si="72"/>
        <v>86</v>
      </c>
      <c r="L423" s="38">
        <f t="shared" si="73"/>
        <v>19.756666666666668</v>
      </c>
      <c r="M423" s="38">
        <f t="shared" si="74"/>
        <v>66.243333333333339</v>
      </c>
      <c r="N423" s="38">
        <v>82.47</v>
      </c>
      <c r="O423" s="38">
        <f t="shared" si="75"/>
        <v>19.756666666666668</v>
      </c>
      <c r="P423" s="38">
        <f t="shared" si="76"/>
        <v>62.713333333333331</v>
      </c>
      <c r="Q423" s="38"/>
      <c r="R423" s="38">
        <v>302.51</v>
      </c>
      <c r="S423" s="38">
        <v>15.18</v>
      </c>
      <c r="T423" s="38">
        <f t="shared" si="78"/>
        <v>287.33</v>
      </c>
      <c r="U423" s="38">
        <v>267.57</v>
      </c>
      <c r="V423" s="38">
        <v>1.59</v>
      </c>
      <c r="W423" s="38">
        <f t="shared" si="77"/>
        <v>250.79999999999998</v>
      </c>
      <c r="X423" s="38" t="s">
        <v>658</v>
      </c>
      <c r="Y423" s="9"/>
    </row>
    <row r="424" spans="1:25" hidden="1" x14ac:dyDescent="0.25">
      <c r="A424" s="5" t="s">
        <v>25</v>
      </c>
      <c r="B424" s="9" t="s">
        <v>28</v>
      </c>
      <c r="C424" s="9" t="s">
        <v>32</v>
      </c>
      <c r="D424" s="9" t="s">
        <v>468</v>
      </c>
      <c r="E424" s="22">
        <v>45889</v>
      </c>
      <c r="F424" s="9">
        <v>2</v>
      </c>
      <c r="G424" s="10" t="s">
        <v>57</v>
      </c>
      <c r="H424" s="9" t="s">
        <v>85</v>
      </c>
      <c r="I424" s="9">
        <v>117</v>
      </c>
      <c r="J424" s="9" t="s">
        <v>247</v>
      </c>
      <c r="K424" s="38">
        <f t="shared" si="72"/>
        <v>117</v>
      </c>
      <c r="L424" s="38">
        <f t="shared" si="73"/>
        <v>19.756666666666668</v>
      </c>
      <c r="M424" s="38">
        <f t="shared" si="74"/>
        <v>97.243333333333339</v>
      </c>
      <c r="N424" s="38">
        <v>113</v>
      </c>
      <c r="O424" s="38">
        <f t="shared" si="75"/>
        <v>19.756666666666668</v>
      </c>
      <c r="P424" s="38">
        <f t="shared" si="76"/>
        <v>93.243333333333339</v>
      </c>
      <c r="Q424" s="38"/>
      <c r="R424" s="38">
        <v>428.65</v>
      </c>
      <c r="S424" s="38">
        <v>15.18</v>
      </c>
      <c r="T424" s="38">
        <f t="shared" si="78"/>
        <v>413.46999999999997</v>
      </c>
      <c r="U424" s="38">
        <v>329.34</v>
      </c>
      <c r="V424" s="38">
        <v>1.65</v>
      </c>
      <c r="W424" s="38">
        <f t="shared" si="77"/>
        <v>312.51</v>
      </c>
      <c r="X424" s="38" t="s">
        <v>658</v>
      </c>
      <c r="Y424" s="9"/>
    </row>
    <row r="425" spans="1:25" hidden="1" x14ac:dyDescent="0.25">
      <c r="A425" s="5" t="s">
        <v>25</v>
      </c>
      <c r="B425" s="9" t="s">
        <v>29</v>
      </c>
      <c r="C425" s="9" t="s">
        <v>32</v>
      </c>
      <c r="D425" s="9" t="s">
        <v>472</v>
      </c>
      <c r="E425" s="22">
        <v>45889</v>
      </c>
      <c r="F425" s="9">
        <v>2</v>
      </c>
      <c r="G425" s="10" t="s">
        <v>57</v>
      </c>
      <c r="H425" s="9" t="s">
        <v>85</v>
      </c>
      <c r="I425" s="9">
        <v>115</v>
      </c>
      <c r="J425" s="9" t="s">
        <v>264</v>
      </c>
      <c r="K425" s="38">
        <f t="shared" si="72"/>
        <v>115</v>
      </c>
      <c r="L425" s="38">
        <f t="shared" si="73"/>
        <v>19.756666666666668</v>
      </c>
      <c r="M425" s="38">
        <f t="shared" si="74"/>
        <v>95.243333333333339</v>
      </c>
      <c r="N425" s="38">
        <v>110.65</v>
      </c>
      <c r="O425" s="38">
        <f t="shared" si="75"/>
        <v>19.756666666666668</v>
      </c>
      <c r="P425" s="38">
        <f t="shared" si="76"/>
        <v>90.893333333333345</v>
      </c>
      <c r="Q425" s="38"/>
      <c r="R425" s="38">
        <v>374.19</v>
      </c>
      <c r="S425" s="38">
        <v>15.18</v>
      </c>
      <c r="T425" s="38">
        <f t="shared" si="78"/>
        <v>359.01</v>
      </c>
      <c r="U425" s="38">
        <v>308.81</v>
      </c>
      <c r="V425" s="38">
        <v>1.8</v>
      </c>
      <c r="W425" s="38">
        <f t="shared" si="77"/>
        <v>291.83</v>
      </c>
      <c r="X425" s="38" t="s">
        <v>658</v>
      </c>
      <c r="Y425" s="9"/>
    </row>
    <row r="426" spans="1:25" hidden="1" x14ac:dyDescent="0.25">
      <c r="A426" s="5" t="s">
        <v>25</v>
      </c>
      <c r="B426" s="9" t="s">
        <v>30</v>
      </c>
      <c r="C426" s="9" t="s">
        <v>32</v>
      </c>
      <c r="D426" s="9" t="s">
        <v>476</v>
      </c>
      <c r="E426" s="22">
        <v>45889</v>
      </c>
      <c r="F426" s="9">
        <v>2</v>
      </c>
      <c r="G426" s="10" t="s">
        <v>57</v>
      </c>
      <c r="H426" s="9" t="s">
        <v>85</v>
      </c>
      <c r="I426" s="9">
        <v>101</v>
      </c>
      <c r="J426" s="9" t="s">
        <v>277</v>
      </c>
      <c r="K426" s="38">
        <f t="shared" si="72"/>
        <v>101</v>
      </c>
      <c r="L426" s="38">
        <f t="shared" si="73"/>
        <v>19.756666666666668</v>
      </c>
      <c r="M426" s="38">
        <f t="shared" si="74"/>
        <v>81.243333333333339</v>
      </c>
      <c r="N426" s="38">
        <v>97.98</v>
      </c>
      <c r="O426" s="38">
        <f t="shared" si="75"/>
        <v>19.756666666666668</v>
      </c>
      <c r="P426" s="38">
        <f t="shared" si="76"/>
        <v>78.223333333333329</v>
      </c>
      <c r="Q426" s="38"/>
      <c r="R426" s="38">
        <v>350.36</v>
      </c>
      <c r="S426" s="38">
        <v>15.18</v>
      </c>
      <c r="T426" s="38">
        <f t="shared" si="78"/>
        <v>335.18</v>
      </c>
      <c r="U426" s="38">
        <v>201.09</v>
      </c>
      <c r="V426" s="38">
        <v>1.67</v>
      </c>
      <c r="W426" s="38">
        <f t="shared" si="77"/>
        <v>184.24</v>
      </c>
      <c r="X426" s="38" t="s">
        <v>658</v>
      </c>
      <c r="Y426" s="9"/>
    </row>
    <row r="427" spans="1:25" hidden="1" x14ac:dyDescent="0.25">
      <c r="A427" s="5" t="s">
        <v>25</v>
      </c>
      <c r="B427" s="9" t="s">
        <v>31</v>
      </c>
      <c r="C427" s="9" t="s">
        <v>32</v>
      </c>
      <c r="D427" s="9" t="s">
        <v>480</v>
      </c>
      <c r="E427" s="22">
        <v>45888</v>
      </c>
      <c r="F427" s="9">
        <v>2</v>
      </c>
      <c r="G427" s="10" t="s">
        <v>57</v>
      </c>
      <c r="H427" s="9" t="s">
        <v>116</v>
      </c>
      <c r="I427" s="9">
        <v>37</v>
      </c>
      <c r="J427" s="9" t="s">
        <v>282</v>
      </c>
      <c r="K427" s="38">
        <f t="shared" si="72"/>
        <v>37</v>
      </c>
      <c r="L427" s="38">
        <f t="shared" si="73"/>
        <v>19.756666666666668</v>
      </c>
      <c r="M427" s="38">
        <f t="shared" si="74"/>
        <v>17.243333333333332</v>
      </c>
      <c r="N427" s="38">
        <v>35.26</v>
      </c>
      <c r="O427" s="38">
        <f t="shared" si="75"/>
        <v>19.756666666666668</v>
      </c>
      <c r="P427" s="38">
        <f t="shared" si="76"/>
        <v>15.50333333333333</v>
      </c>
      <c r="Q427" s="38"/>
      <c r="R427" s="38">
        <v>251.65</v>
      </c>
      <c r="S427" s="38">
        <v>15.18</v>
      </c>
      <c r="T427" s="38">
        <f t="shared" si="78"/>
        <v>236.47</v>
      </c>
      <c r="U427" s="38">
        <v>195.25</v>
      </c>
      <c r="V427" s="38">
        <v>1.77</v>
      </c>
      <c r="W427" s="38">
        <f t="shared" si="77"/>
        <v>178.29999999999998</v>
      </c>
      <c r="X427" s="38" t="s">
        <v>658</v>
      </c>
      <c r="Y427" s="9"/>
    </row>
  </sheetData>
  <autoFilter ref="A1:Y427" xr:uid="{ECDDFD95-7877-47FF-B631-BACB6E19A2D2}">
    <filterColumn colId="0">
      <filters>
        <filter val="SOM"/>
        <filter val="TEX"/>
      </filters>
    </filterColumn>
    <filterColumn colId="1">
      <filters>
        <filter val="GC Road"/>
      </filters>
    </filterColumn>
  </autoFilter>
  <sortState xmlns:xlrd2="http://schemas.microsoft.com/office/spreadsheetml/2017/richdata2" ref="A270:Y319">
    <sortCondition descending="1" ref="W2:W427"/>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4F7AE-D928-42AC-8F4E-818336329829}">
  <dimension ref="A1:N12"/>
  <sheetViews>
    <sheetView workbookViewId="0">
      <selection activeCell="S15" sqref="S15"/>
    </sheetView>
  </sheetViews>
  <sheetFormatPr defaultRowHeight="15" x14ac:dyDescent="0.25"/>
  <cols>
    <col min="1" max="1" width="19.85546875" bestFit="1" customWidth="1"/>
    <col min="2" max="6" width="11.42578125" bestFit="1" customWidth="1"/>
    <col min="7" max="7" width="20.28515625" customWidth="1"/>
    <col min="8" max="8" width="11.42578125" bestFit="1" customWidth="1"/>
    <col min="9" max="9" width="5.85546875" bestFit="1" customWidth="1"/>
    <col min="10" max="10" width="12.7109375" customWidth="1"/>
  </cols>
  <sheetData>
    <row r="1" spans="1:14" s="64" customFormat="1" x14ac:dyDescent="0.25">
      <c r="A1" s="64" t="s">
        <v>0</v>
      </c>
      <c r="B1" s="64" t="s">
        <v>665</v>
      </c>
      <c r="C1" s="64" t="s">
        <v>666</v>
      </c>
      <c r="D1" s="64" t="s">
        <v>667</v>
      </c>
      <c r="E1" s="64" t="s">
        <v>668</v>
      </c>
      <c r="F1" s="64" t="s">
        <v>669</v>
      </c>
      <c r="G1" s="64" t="s">
        <v>670</v>
      </c>
      <c r="H1" s="64" t="s">
        <v>671</v>
      </c>
      <c r="I1" s="64" t="s">
        <v>675</v>
      </c>
      <c r="J1" s="64" t="s">
        <v>674</v>
      </c>
      <c r="K1" s="64" t="s">
        <v>676</v>
      </c>
    </row>
    <row r="2" spans="1:14" x14ac:dyDescent="0.25">
      <c r="A2" t="s">
        <v>672</v>
      </c>
      <c r="B2">
        <v>272.95</v>
      </c>
      <c r="C2">
        <v>273.36</v>
      </c>
      <c r="D2">
        <v>273.56</v>
      </c>
      <c r="E2">
        <v>273.77999999999997</v>
      </c>
      <c r="F2">
        <v>273.95</v>
      </c>
      <c r="G2">
        <v>274.02</v>
      </c>
      <c r="H2">
        <v>274.05</v>
      </c>
      <c r="I2">
        <v>10</v>
      </c>
      <c r="J2" t="s">
        <v>677</v>
      </c>
      <c r="K2" t="s">
        <v>678</v>
      </c>
    </row>
    <row r="3" spans="1:14" x14ac:dyDescent="0.25">
      <c r="A3" t="s">
        <v>673</v>
      </c>
      <c r="B3">
        <v>273.19</v>
      </c>
      <c r="C3">
        <v>273.36</v>
      </c>
      <c r="D3">
        <v>273.41000000000003</v>
      </c>
      <c r="E3">
        <v>273.38</v>
      </c>
      <c r="F3">
        <v>273.39999999999998</v>
      </c>
      <c r="G3">
        <v>273.45</v>
      </c>
      <c r="H3">
        <v>273.49</v>
      </c>
      <c r="I3">
        <v>10</v>
      </c>
      <c r="J3" t="s">
        <v>677</v>
      </c>
      <c r="K3" t="s">
        <v>678</v>
      </c>
    </row>
    <row r="4" spans="1:14" x14ac:dyDescent="0.25">
      <c r="A4" t="s">
        <v>679</v>
      </c>
      <c r="B4">
        <v>273.70999999999998</v>
      </c>
      <c r="C4">
        <v>274.14999999999998</v>
      </c>
      <c r="D4">
        <v>274.37</v>
      </c>
      <c r="E4">
        <v>274.56</v>
      </c>
      <c r="F4">
        <v>274.7</v>
      </c>
      <c r="G4">
        <v>274.81</v>
      </c>
      <c r="H4">
        <v>274.88</v>
      </c>
      <c r="I4">
        <v>10</v>
      </c>
      <c r="J4" t="s">
        <v>677</v>
      </c>
      <c r="K4" t="s">
        <v>678</v>
      </c>
    </row>
    <row r="5" spans="1:14" x14ac:dyDescent="0.25">
      <c r="A5" t="s">
        <v>680</v>
      </c>
      <c r="B5">
        <v>273.05</v>
      </c>
      <c r="C5">
        <v>273.36</v>
      </c>
      <c r="D5">
        <v>273.44</v>
      </c>
      <c r="E5">
        <v>273.45</v>
      </c>
      <c r="F5">
        <v>273.5</v>
      </c>
      <c r="G5">
        <v>273.51</v>
      </c>
      <c r="H5">
        <v>273.52</v>
      </c>
      <c r="I5">
        <v>10</v>
      </c>
      <c r="J5" t="s">
        <v>677</v>
      </c>
      <c r="K5" t="s">
        <v>678</v>
      </c>
    </row>
    <row r="7" spans="1:14" x14ac:dyDescent="0.25">
      <c r="G7" s="65" t="s">
        <v>681</v>
      </c>
      <c r="J7">
        <v>272.55</v>
      </c>
    </row>
    <row r="8" spans="1:14" x14ac:dyDescent="0.25">
      <c r="G8" s="64" t="s">
        <v>0</v>
      </c>
      <c r="H8" s="64" t="s">
        <v>665</v>
      </c>
      <c r="I8" s="64" t="s">
        <v>666</v>
      </c>
      <c r="J8" s="64" t="s">
        <v>667</v>
      </c>
      <c r="K8" s="64" t="s">
        <v>668</v>
      </c>
      <c r="L8" s="64" t="s">
        <v>669</v>
      </c>
      <c r="M8" s="64" t="s">
        <v>670</v>
      </c>
      <c r="N8" s="64" t="s">
        <v>671</v>
      </c>
    </row>
    <row r="9" spans="1:14" x14ac:dyDescent="0.25">
      <c r="G9" t="s">
        <v>672</v>
      </c>
      <c r="H9">
        <f>B2-$J$7</f>
        <v>0.39999999999997726</v>
      </c>
      <c r="I9">
        <f t="shared" ref="I9:N9" si="0">C2-$J$7</f>
        <v>0.81000000000000227</v>
      </c>
      <c r="J9">
        <f t="shared" si="0"/>
        <v>1.0099999999999909</v>
      </c>
      <c r="K9">
        <f t="shared" si="0"/>
        <v>1.2299999999999613</v>
      </c>
      <c r="L9">
        <f t="shared" si="0"/>
        <v>1.3999999999999773</v>
      </c>
      <c r="M9">
        <f t="shared" si="0"/>
        <v>1.4699999999999704</v>
      </c>
      <c r="N9">
        <f t="shared" si="0"/>
        <v>1.5</v>
      </c>
    </row>
    <row r="10" spans="1:14" x14ac:dyDescent="0.25">
      <c r="G10" t="s">
        <v>673</v>
      </c>
      <c r="H10">
        <f>B3-$J$7</f>
        <v>0.63999999999998636</v>
      </c>
      <c r="I10">
        <f t="shared" ref="I10:N12" si="1">C3-$J$7</f>
        <v>0.81000000000000227</v>
      </c>
      <c r="J10">
        <f t="shared" si="1"/>
        <v>0.86000000000001364</v>
      </c>
      <c r="K10">
        <f t="shared" si="1"/>
        <v>0.82999999999998408</v>
      </c>
      <c r="L10">
        <f t="shared" si="1"/>
        <v>0.84999999999996589</v>
      </c>
      <c r="M10">
        <f t="shared" si="1"/>
        <v>0.89999999999997726</v>
      </c>
      <c r="N10">
        <f t="shared" si="1"/>
        <v>0.93999999999999773</v>
      </c>
    </row>
    <row r="11" spans="1:14" x14ac:dyDescent="0.25">
      <c r="G11" t="s">
        <v>679</v>
      </c>
      <c r="H11">
        <f>B4-$J$7</f>
        <v>1.1599999999999682</v>
      </c>
      <c r="I11">
        <f t="shared" si="1"/>
        <v>1.5999999999999659</v>
      </c>
      <c r="J11">
        <f t="shared" si="1"/>
        <v>1.8199999999999932</v>
      </c>
      <c r="K11">
        <f t="shared" si="1"/>
        <v>2.0099999999999909</v>
      </c>
      <c r="L11">
        <f t="shared" si="1"/>
        <v>2.1499999999999773</v>
      </c>
      <c r="M11">
        <f t="shared" si="1"/>
        <v>2.2599999999999909</v>
      </c>
      <c r="N11">
        <f t="shared" si="1"/>
        <v>2.3299999999999841</v>
      </c>
    </row>
    <row r="12" spans="1:14" x14ac:dyDescent="0.25">
      <c r="G12" t="s">
        <v>680</v>
      </c>
      <c r="H12">
        <f>B5-$J$7</f>
        <v>0.5</v>
      </c>
      <c r="I12">
        <f t="shared" ref="I12" si="2">C5-$J$7</f>
        <v>0.81000000000000227</v>
      </c>
      <c r="J12">
        <f t="shared" ref="J12" si="3">D5-$J$7</f>
        <v>0.88999999999998636</v>
      </c>
      <c r="K12">
        <f t="shared" ref="K12" si="4">E5-$J$7</f>
        <v>0.89999999999997726</v>
      </c>
      <c r="L12">
        <f t="shared" ref="L12" si="5">F5-$J$7</f>
        <v>0.94999999999998863</v>
      </c>
      <c r="M12">
        <f t="shared" si="1"/>
        <v>0.95999999999997954</v>
      </c>
      <c r="N12">
        <f t="shared" si="1"/>
        <v>0.96999999999997044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FF7CC-8233-4536-906E-BB99A489007A}">
  <dimension ref="A1:D81"/>
  <sheetViews>
    <sheetView workbookViewId="0">
      <selection activeCell="A2" sqref="A2:A81"/>
    </sheetView>
  </sheetViews>
  <sheetFormatPr defaultRowHeight="15" x14ac:dyDescent="0.25"/>
  <cols>
    <col min="1" max="1" width="26.5703125" bestFit="1" customWidth="1"/>
    <col min="2" max="2" width="12.85546875" bestFit="1" customWidth="1"/>
    <col min="3" max="3" width="22.28515625" bestFit="1" customWidth="1"/>
    <col min="4" max="4" width="3.85546875" bestFit="1" customWidth="1"/>
  </cols>
  <sheetData>
    <row r="1" spans="1:4" s="18" customFormat="1" ht="30" x14ac:dyDescent="0.25">
      <c r="A1" s="66" t="s">
        <v>0</v>
      </c>
      <c r="B1" s="5" t="s">
        <v>685</v>
      </c>
      <c r="C1" s="5" t="s">
        <v>687</v>
      </c>
      <c r="D1" s="66" t="s">
        <v>686</v>
      </c>
    </row>
    <row r="2" spans="1:4" x14ac:dyDescent="0.25">
      <c r="A2" s="9" t="s">
        <v>411</v>
      </c>
      <c r="B2" s="63">
        <v>5.4</v>
      </c>
      <c r="C2" s="63">
        <v>67.3</v>
      </c>
      <c r="D2" s="63"/>
    </row>
    <row r="3" spans="1:4" x14ac:dyDescent="0.25">
      <c r="A3" s="9" t="s">
        <v>410</v>
      </c>
      <c r="B3" s="63">
        <v>5.2</v>
      </c>
      <c r="C3" s="63">
        <v>58.4</v>
      </c>
      <c r="D3" s="63"/>
    </row>
    <row r="4" spans="1:4" x14ac:dyDescent="0.25">
      <c r="A4" s="9" t="s">
        <v>409</v>
      </c>
      <c r="B4" s="63">
        <v>4.8099999999999996</v>
      </c>
      <c r="C4" s="63">
        <v>119.2</v>
      </c>
      <c r="D4" s="63"/>
    </row>
    <row r="5" spans="1:4" x14ac:dyDescent="0.25">
      <c r="A5" s="9" t="s">
        <v>408</v>
      </c>
      <c r="B5" s="63">
        <v>5.0999999999999996</v>
      </c>
      <c r="C5" s="63">
        <v>76.400000000000006</v>
      </c>
      <c r="D5" s="63"/>
    </row>
    <row r="6" spans="1:4" x14ac:dyDescent="0.25">
      <c r="A6" s="9" t="s">
        <v>407</v>
      </c>
      <c r="B6" s="63">
        <v>5.09</v>
      </c>
      <c r="C6" s="63">
        <v>78.099999999999994</v>
      </c>
      <c r="D6" s="63"/>
    </row>
    <row r="7" spans="1:4" x14ac:dyDescent="0.25">
      <c r="A7" s="9" t="s">
        <v>406</v>
      </c>
      <c r="B7" s="63">
        <v>5.0599999999999996</v>
      </c>
      <c r="C7" s="63">
        <v>68</v>
      </c>
      <c r="D7" s="63"/>
    </row>
    <row r="8" spans="1:4" x14ac:dyDescent="0.25">
      <c r="A8" s="9" t="s">
        <v>405</v>
      </c>
      <c r="B8" s="63">
        <v>5.2</v>
      </c>
      <c r="C8" s="63">
        <v>59.3</v>
      </c>
      <c r="D8" s="63"/>
    </row>
    <row r="9" spans="1:4" x14ac:dyDescent="0.25">
      <c r="A9" s="9" t="s">
        <v>404</v>
      </c>
      <c r="B9" s="63">
        <v>5.16</v>
      </c>
      <c r="C9" s="63">
        <v>60.4</v>
      </c>
      <c r="D9" s="63"/>
    </row>
    <row r="10" spans="1:4" x14ac:dyDescent="0.25">
      <c r="A10" s="9" t="s">
        <v>403</v>
      </c>
      <c r="B10" s="63">
        <v>5.0599999999999996</v>
      </c>
      <c r="C10" s="63">
        <v>54.6</v>
      </c>
      <c r="D10" s="63"/>
    </row>
    <row r="11" spans="1:4" x14ac:dyDescent="0.25">
      <c r="A11" s="9" t="s">
        <v>402</v>
      </c>
      <c r="B11" s="63">
        <v>5.15</v>
      </c>
      <c r="C11" s="63">
        <v>57.9</v>
      </c>
      <c r="D11" s="63"/>
    </row>
    <row r="12" spans="1:4" x14ac:dyDescent="0.25">
      <c r="A12" s="9" t="s">
        <v>401</v>
      </c>
      <c r="B12" s="63">
        <v>4.99</v>
      </c>
      <c r="C12" s="63">
        <v>65.2</v>
      </c>
      <c r="D12" s="63"/>
    </row>
    <row r="13" spans="1:4" ht="30" x14ac:dyDescent="0.25">
      <c r="A13" s="9" t="s">
        <v>456</v>
      </c>
      <c r="B13" s="63">
        <v>5.0999999999999996</v>
      </c>
      <c r="C13" s="63">
        <v>55</v>
      </c>
      <c r="D13" s="63"/>
    </row>
    <row r="14" spans="1:4" ht="30" x14ac:dyDescent="0.25">
      <c r="A14" s="9" t="s">
        <v>457</v>
      </c>
      <c r="B14" s="63">
        <v>5.19</v>
      </c>
      <c r="C14" s="63">
        <v>30.9</v>
      </c>
      <c r="D14" s="63"/>
    </row>
    <row r="15" spans="1:4" ht="30" x14ac:dyDescent="0.25">
      <c r="A15" s="9" t="s">
        <v>458</v>
      </c>
      <c r="B15" s="63">
        <v>5.18</v>
      </c>
      <c r="C15" s="63">
        <v>26.7</v>
      </c>
      <c r="D15" s="63"/>
    </row>
    <row r="16" spans="1:4" ht="30" x14ac:dyDescent="0.25">
      <c r="A16" s="9" t="s">
        <v>459</v>
      </c>
      <c r="B16" s="63">
        <v>5.12</v>
      </c>
      <c r="C16" s="63">
        <v>38.9</v>
      </c>
      <c r="D16" s="63"/>
    </row>
    <row r="17" spans="1:4" ht="30" x14ac:dyDescent="0.25">
      <c r="A17" s="9" t="s">
        <v>460</v>
      </c>
      <c r="B17" s="63">
        <v>5.31</v>
      </c>
      <c r="C17" s="63">
        <v>19</v>
      </c>
      <c r="D17" s="63"/>
    </row>
    <row r="18" spans="1:4" x14ac:dyDescent="0.25">
      <c r="A18" s="9" t="s">
        <v>444</v>
      </c>
      <c r="B18" s="63">
        <v>4.9000000000000004</v>
      </c>
      <c r="C18" s="63">
        <v>163.19999999999999</v>
      </c>
      <c r="D18" s="63"/>
    </row>
    <row r="19" spans="1:4" x14ac:dyDescent="0.25">
      <c r="A19" s="9" t="s">
        <v>443</v>
      </c>
      <c r="B19" s="63">
        <v>4.8499999999999996</v>
      </c>
      <c r="C19" s="63">
        <v>104</v>
      </c>
      <c r="D19" s="63"/>
    </row>
    <row r="20" spans="1:4" x14ac:dyDescent="0.25">
      <c r="A20" s="9" t="s">
        <v>442</v>
      </c>
      <c r="B20" s="63">
        <v>4.91</v>
      </c>
      <c r="C20" s="63">
        <v>80.7</v>
      </c>
      <c r="D20" s="63"/>
    </row>
    <row r="21" spans="1:4" x14ac:dyDescent="0.25">
      <c r="A21" s="9" t="s">
        <v>441</v>
      </c>
      <c r="B21" s="63">
        <v>4.8899999999999997</v>
      </c>
      <c r="C21" s="63">
        <v>87.1</v>
      </c>
      <c r="D21" s="63"/>
    </row>
    <row r="22" spans="1:4" x14ac:dyDescent="0.25">
      <c r="A22" s="9" t="s">
        <v>440</v>
      </c>
      <c r="B22" s="63">
        <v>4.93</v>
      </c>
      <c r="C22" s="63">
        <v>77</v>
      </c>
      <c r="D22" s="63"/>
    </row>
    <row r="23" spans="1:4" x14ac:dyDescent="0.25">
      <c r="A23" s="9" t="s">
        <v>439</v>
      </c>
      <c r="B23" s="63">
        <v>4.9400000000000004</v>
      </c>
      <c r="C23" s="63">
        <v>58.1</v>
      </c>
      <c r="D23" s="63"/>
    </row>
    <row r="24" spans="1:4" x14ac:dyDescent="0.25">
      <c r="A24" s="9" t="s">
        <v>438</v>
      </c>
      <c r="B24" s="63">
        <v>4.97</v>
      </c>
      <c r="C24" s="63">
        <v>48.9</v>
      </c>
      <c r="D24" s="63"/>
    </row>
    <row r="25" spans="1:4" x14ac:dyDescent="0.25">
      <c r="A25" s="9" t="s">
        <v>437</v>
      </c>
      <c r="B25" s="63">
        <v>5.01</v>
      </c>
      <c r="C25" s="63">
        <v>48.6</v>
      </c>
      <c r="D25" s="63"/>
    </row>
    <row r="26" spans="1:4" x14ac:dyDescent="0.25">
      <c r="A26" s="9" t="s">
        <v>436</v>
      </c>
      <c r="B26" s="63">
        <v>5.07</v>
      </c>
      <c r="C26" s="63">
        <v>41.8</v>
      </c>
      <c r="D26" s="63"/>
    </row>
    <row r="27" spans="1:4" x14ac:dyDescent="0.25">
      <c r="A27" s="9" t="s">
        <v>435</v>
      </c>
      <c r="B27" s="63">
        <v>4.97</v>
      </c>
      <c r="C27" s="63">
        <v>36.200000000000003</v>
      </c>
      <c r="D27" s="63"/>
    </row>
    <row r="28" spans="1:4" x14ac:dyDescent="0.25">
      <c r="A28" s="9" t="s">
        <v>434</v>
      </c>
      <c r="B28" s="63">
        <v>5.2</v>
      </c>
      <c r="C28" s="63">
        <v>30.1</v>
      </c>
      <c r="D28" s="63"/>
    </row>
    <row r="29" spans="1:4" x14ac:dyDescent="0.25">
      <c r="A29" s="9" t="s">
        <v>476</v>
      </c>
      <c r="B29" s="63">
        <v>5.35</v>
      </c>
      <c r="C29" s="63">
        <v>26.6</v>
      </c>
      <c r="D29" s="63"/>
    </row>
    <row r="30" spans="1:4" x14ac:dyDescent="0.25">
      <c r="A30" s="9" t="s">
        <v>475</v>
      </c>
      <c r="B30" s="63">
        <v>5.32</v>
      </c>
      <c r="C30" s="63">
        <v>21.7</v>
      </c>
      <c r="D30" s="63"/>
    </row>
    <row r="31" spans="1:4" x14ac:dyDescent="0.25">
      <c r="A31" s="9" t="s">
        <v>474</v>
      </c>
      <c r="B31" s="63">
        <v>5.45</v>
      </c>
      <c r="C31" s="63">
        <v>17</v>
      </c>
      <c r="D31" s="63"/>
    </row>
    <row r="32" spans="1:4" x14ac:dyDescent="0.25">
      <c r="A32" s="9" t="s">
        <v>473</v>
      </c>
      <c r="B32" s="63">
        <v>5.59</v>
      </c>
      <c r="C32" s="63">
        <v>24.6</v>
      </c>
      <c r="D32" s="63"/>
    </row>
    <row r="33" spans="1:4" x14ac:dyDescent="0.25">
      <c r="A33" s="9" t="s">
        <v>463</v>
      </c>
      <c r="B33" s="63">
        <v>5.6</v>
      </c>
      <c r="C33" s="63">
        <v>17.3</v>
      </c>
      <c r="D33" s="63"/>
    </row>
    <row r="34" spans="1:4" x14ac:dyDescent="0.25">
      <c r="A34" s="9" t="s">
        <v>422</v>
      </c>
      <c r="B34" s="63">
        <v>5.4</v>
      </c>
      <c r="C34" s="63">
        <v>107.4</v>
      </c>
      <c r="D34" s="63"/>
    </row>
    <row r="35" spans="1:4" x14ac:dyDescent="0.25">
      <c r="A35" s="9" t="s">
        <v>421</v>
      </c>
      <c r="B35" s="63">
        <v>5.25</v>
      </c>
      <c r="C35" s="63">
        <v>60.8</v>
      </c>
      <c r="D35" s="63"/>
    </row>
    <row r="36" spans="1:4" x14ac:dyDescent="0.25">
      <c r="A36" s="9" t="s">
        <v>420</v>
      </c>
      <c r="B36" s="63">
        <v>5.1100000000000003</v>
      </c>
      <c r="C36" s="63">
        <v>64.2</v>
      </c>
      <c r="D36" s="63"/>
    </row>
    <row r="37" spans="1:4" x14ac:dyDescent="0.25">
      <c r="A37" s="9" t="s">
        <v>419</v>
      </c>
      <c r="B37" s="63">
        <v>5.18</v>
      </c>
      <c r="C37" s="63">
        <v>51.2</v>
      </c>
      <c r="D37" s="63"/>
    </row>
    <row r="38" spans="1:4" x14ac:dyDescent="0.25">
      <c r="A38" s="9" t="s">
        <v>418</v>
      </c>
      <c r="B38" s="63">
        <v>5.23</v>
      </c>
      <c r="C38" s="63">
        <v>45.4</v>
      </c>
      <c r="D38" s="63"/>
    </row>
    <row r="39" spans="1:4" x14ac:dyDescent="0.25">
      <c r="A39" s="9" t="s">
        <v>417</v>
      </c>
      <c r="B39" s="63">
        <v>5.08</v>
      </c>
      <c r="C39" s="63">
        <v>39.4</v>
      </c>
      <c r="D39" s="63"/>
    </row>
    <row r="40" spans="1:4" x14ac:dyDescent="0.25">
      <c r="A40" s="9" t="s">
        <v>416</v>
      </c>
      <c r="B40" s="63">
        <v>5.14</v>
      </c>
      <c r="C40" s="63">
        <v>38.299999999999997</v>
      </c>
      <c r="D40" s="63"/>
    </row>
    <row r="41" spans="1:4" x14ac:dyDescent="0.25">
      <c r="A41" s="9" t="s">
        <v>415</v>
      </c>
      <c r="B41" s="63">
        <v>5.22</v>
      </c>
      <c r="C41" s="63">
        <v>32.299999999999997</v>
      </c>
      <c r="D41" s="63"/>
    </row>
    <row r="42" spans="1:4" x14ac:dyDescent="0.25">
      <c r="A42" s="9" t="s">
        <v>414</v>
      </c>
      <c r="B42" s="63">
        <v>5.22</v>
      </c>
      <c r="C42" s="63">
        <v>32.4</v>
      </c>
      <c r="D42" s="63"/>
    </row>
    <row r="43" spans="1:4" x14ac:dyDescent="0.25">
      <c r="A43" s="9" t="s">
        <v>413</v>
      </c>
      <c r="B43" s="63">
        <v>5.27</v>
      </c>
      <c r="C43" s="63">
        <v>28.3</v>
      </c>
      <c r="D43" s="63"/>
    </row>
    <row r="44" spans="1:4" x14ac:dyDescent="0.25">
      <c r="A44" s="9" t="s">
        <v>412</v>
      </c>
      <c r="B44" s="63">
        <v>5.25</v>
      </c>
      <c r="C44" s="63">
        <v>25.2</v>
      </c>
      <c r="D44" s="63"/>
    </row>
    <row r="45" spans="1:4" x14ac:dyDescent="0.25">
      <c r="A45" s="9" t="s">
        <v>468</v>
      </c>
      <c r="B45" s="63">
        <v>5.3</v>
      </c>
      <c r="C45" s="63">
        <v>28.9</v>
      </c>
      <c r="D45" s="63"/>
    </row>
    <row r="46" spans="1:4" x14ac:dyDescent="0.25">
      <c r="A46" s="9" t="s">
        <v>467</v>
      </c>
      <c r="B46" s="63">
        <v>5.36</v>
      </c>
      <c r="C46" s="63">
        <v>26.5</v>
      </c>
      <c r="D46" s="63"/>
    </row>
    <row r="47" spans="1:4" x14ac:dyDescent="0.25">
      <c r="A47" s="9" t="s">
        <v>466</v>
      </c>
      <c r="B47" s="63">
        <v>5.46</v>
      </c>
      <c r="C47" s="63">
        <v>26.5</v>
      </c>
      <c r="D47" s="63"/>
    </row>
    <row r="48" spans="1:4" x14ac:dyDescent="0.25">
      <c r="A48" s="9" t="s">
        <v>465</v>
      </c>
      <c r="B48" s="63">
        <v>5.54</v>
      </c>
      <c r="C48" s="63">
        <v>21.2</v>
      </c>
      <c r="D48" s="63"/>
    </row>
    <row r="49" spans="1:4" x14ac:dyDescent="0.25">
      <c r="A49" s="9" t="s">
        <v>461</v>
      </c>
      <c r="B49" s="63">
        <v>5.56</v>
      </c>
      <c r="C49" s="63">
        <v>21.1</v>
      </c>
      <c r="D49" s="63"/>
    </row>
    <row r="50" spans="1:4" x14ac:dyDescent="0.25">
      <c r="A50" s="9" t="s">
        <v>433</v>
      </c>
      <c r="B50" s="63">
        <v>5.27</v>
      </c>
      <c r="C50" s="63">
        <v>129.30000000000001</v>
      </c>
      <c r="D50" s="63"/>
    </row>
    <row r="51" spans="1:4" x14ac:dyDescent="0.25">
      <c r="A51" s="9" t="s">
        <v>432</v>
      </c>
      <c r="B51" s="63">
        <v>5.08</v>
      </c>
      <c r="C51" s="63">
        <v>61.9</v>
      </c>
      <c r="D51" s="63"/>
    </row>
    <row r="52" spans="1:4" x14ac:dyDescent="0.25">
      <c r="A52" s="9" t="s">
        <v>431</v>
      </c>
      <c r="B52" s="63">
        <v>5.12</v>
      </c>
      <c r="C52" s="63">
        <v>50.1</v>
      </c>
      <c r="D52" s="63"/>
    </row>
    <row r="53" spans="1:4" x14ac:dyDescent="0.25">
      <c r="A53" s="9" t="s">
        <v>430</v>
      </c>
      <c r="B53" s="63">
        <v>5.12</v>
      </c>
      <c r="C53" s="63">
        <v>44.8</v>
      </c>
      <c r="D53" s="63"/>
    </row>
    <row r="54" spans="1:4" x14ac:dyDescent="0.25">
      <c r="A54" s="9" t="s">
        <v>429</v>
      </c>
      <c r="B54" s="63">
        <v>5.16</v>
      </c>
      <c r="C54" s="63">
        <v>38.4</v>
      </c>
      <c r="D54" s="63"/>
    </row>
    <row r="55" spans="1:4" x14ac:dyDescent="0.25">
      <c r="A55" s="9" t="s">
        <v>428</v>
      </c>
      <c r="B55" s="63">
        <v>5.16</v>
      </c>
      <c r="C55" s="63">
        <v>35.700000000000003</v>
      </c>
      <c r="D55" s="63"/>
    </row>
    <row r="56" spans="1:4" x14ac:dyDescent="0.25">
      <c r="A56" s="9" t="s">
        <v>427</v>
      </c>
      <c r="B56" s="63">
        <v>5.16</v>
      </c>
      <c r="C56" s="63">
        <v>36.200000000000003</v>
      </c>
      <c r="D56" s="63"/>
    </row>
    <row r="57" spans="1:4" x14ac:dyDescent="0.25">
      <c r="A57" s="9" t="s">
        <v>426</v>
      </c>
      <c r="B57" s="63">
        <v>5.19</v>
      </c>
      <c r="C57" s="63">
        <v>31.8</v>
      </c>
      <c r="D57" s="63"/>
    </row>
    <row r="58" spans="1:4" x14ac:dyDescent="0.25">
      <c r="A58" s="9" t="s">
        <v>425</v>
      </c>
      <c r="B58" s="63">
        <v>5.15</v>
      </c>
      <c r="C58" s="63">
        <v>34.5</v>
      </c>
      <c r="D58" s="63"/>
    </row>
    <row r="59" spans="1:4" x14ac:dyDescent="0.25">
      <c r="A59" s="9" t="s">
        <v>424</v>
      </c>
      <c r="B59" s="63">
        <v>5.23</v>
      </c>
      <c r="C59" s="63">
        <v>29.8</v>
      </c>
      <c r="D59" s="63"/>
    </row>
    <row r="60" spans="1:4" x14ac:dyDescent="0.25">
      <c r="A60" s="9" t="s">
        <v>423</v>
      </c>
      <c r="B60" s="63">
        <v>5.23</v>
      </c>
      <c r="C60" s="63">
        <v>29.3</v>
      </c>
      <c r="D60" s="63"/>
    </row>
    <row r="61" spans="1:4" x14ac:dyDescent="0.25">
      <c r="A61" s="9" t="s">
        <v>472</v>
      </c>
      <c r="B61" s="63">
        <v>5.19</v>
      </c>
      <c r="C61" s="63">
        <v>30.3</v>
      </c>
      <c r="D61" s="63"/>
    </row>
    <row r="62" spans="1:4" x14ac:dyDescent="0.25">
      <c r="A62" s="9" t="s">
        <v>471</v>
      </c>
      <c r="B62" s="63">
        <v>5.33</v>
      </c>
      <c r="C62" s="63">
        <v>23.8</v>
      </c>
      <c r="D62" s="63"/>
    </row>
    <row r="63" spans="1:4" x14ac:dyDescent="0.25">
      <c r="A63" s="9" t="s">
        <v>470</v>
      </c>
      <c r="B63" s="63">
        <v>5.41</v>
      </c>
      <c r="C63" s="63">
        <v>22.5</v>
      </c>
      <c r="D63" s="63"/>
    </row>
    <row r="64" spans="1:4" x14ac:dyDescent="0.25">
      <c r="A64" s="9" t="s">
        <v>469</v>
      </c>
      <c r="B64" s="63">
        <v>5.49</v>
      </c>
      <c r="C64" s="63">
        <v>20.9</v>
      </c>
      <c r="D64" s="63"/>
    </row>
    <row r="65" spans="1:4" x14ac:dyDescent="0.25">
      <c r="A65" s="9" t="s">
        <v>462</v>
      </c>
      <c r="B65" s="63">
        <v>5.44</v>
      </c>
      <c r="C65" s="63">
        <v>18</v>
      </c>
      <c r="D65" s="63"/>
    </row>
    <row r="66" spans="1:4" x14ac:dyDescent="0.25">
      <c r="A66" s="9" t="s">
        <v>455</v>
      </c>
      <c r="B66" s="63">
        <v>5.28</v>
      </c>
      <c r="C66" s="63">
        <v>157.5</v>
      </c>
      <c r="D66" s="63"/>
    </row>
    <row r="67" spans="1:4" x14ac:dyDescent="0.25">
      <c r="A67" s="9" t="s">
        <v>454</v>
      </c>
      <c r="B67" s="63">
        <v>4.95</v>
      </c>
      <c r="C67" s="63">
        <v>72.400000000000006</v>
      </c>
      <c r="D67" s="63"/>
    </row>
    <row r="68" spans="1:4" x14ac:dyDescent="0.25">
      <c r="A68" s="9" t="s">
        <v>453</v>
      </c>
      <c r="B68" s="63">
        <v>4.96</v>
      </c>
      <c r="C68" s="63">
        <v>83.3</v>
      </c>
      <c r="D68" s="63"/>
    </row>
    <row r="69" spans="1:4" x14ac:dyDescent="0.25">
      <c r="A69" s="9" t="s">
        <v>452</v>
      </c>
      <c r="B69" s="63">
        <v>4.9400000000000004</v>
      </c>
      <c r="C69" s="63">
        <v>68</v>
      </c>
      <c r="D69" s="63"/>
    </row>
    <row r="70" spans="1:4" x14ac:dyDescent="0.25">
      <c r="A70" s="9" t="s">
        <v>451</v>
      </c>
      <c r="B70" s="63">
        <v>4.96</v>
      </c>
      <c r="C70" s="63">
        <v>67</v>
      </c>
      <c r="D70" s="63"/>
    </row>
    <row r="71" spans="1:4" x14ac:dyDescent="0.25">
      <c r="A71" s="9" t="s">
        <v>450</v>
      </c>
      <c r="B71" s="63">
        <v>4.99</v>
      </c>
      <c r="C71" s="63">
        <v>56.3</v>
      </c>
      <c r="D71" s="63"/>
    </row>
    <row r="72" spans="1:4" x14ac:dyDescent="0.25">
      <c r="A72" s="9" t="s">
        <v>449</v>
      </c>
      <c r="B72" s="63">
        <v>5.0199999999999996</v>
      </c>
      <c r="C72" s="63">
        <v>65.099999999999994</v>
      </c>
      <c r="D72" s="63"/>
    </row>
    <row r="73" spans="1:4" x14ac:dyDescent="0.25">
      <c r="A73" s="9" t="s">
        <v>448</v>
      </c>
      <c r="B73" s="63">
        <v>4.96</v>
      </c>
      <c r="C73" s="63">
        <v>55.6</v>
      </c>
      <c r="D73" s="63"/>
    </row>
    <row r="74" spans="1:4" x14ac:dyDescent="0.25">
      <c r="A74" s="9" t="s">
        <v>447</v>
      </c>
      <c r="B74" s="63">
        <v>5.0199999999999996</v>
      </c>
      <c r="C74" s="63">
        <v>48.3</v>
      </c>
      <c r="D74" s="63"/>
    </row>
    <row r="75" spans="1:4" x14ac:dyDescent="0.25">
      <c r="A75" s="9" t="s">
        <v>446</v>
      </c>
      <c r="B75" s="63">
        <v>5</v>
      </c>
      <c r="C75" s="63">
        <v>41.4</v>
      </c>
      <c r="D75" s="63"/>
    </row>
    <row r="76" spans="1:4" x14ac:dyDescent="0.25">
      <c r="A76" s="9" t="s">
        <v>445</v>
      </c>
      <c r="B76" s="63">
        <v>5.03</v>
      </c>
      <c r="C76" s="63">
        <v>36.700000000000003</v>
      </c>
      <c r="D76" s="63"/>
    </row>
    <row r="77" spans="1:4" x14ac:dyDescent="0.25">
      <c r="A77" s="9" t="s">
        <v>480</v>
      </c>
      <c r="B77" s="63">
        <v>5.12</v>
      </c>
      <c r="C77" s="63">
        <v>41.9</v>
      </c>
      <c r="D77" s="63"/>
    </row>
    <row r="78" spans="1:4" x14ac:dyDescent="0.25">
      <c r="A78" s="9" t="s">
        <v>479</v>
      </c>
      <c r="B78" s="63">
        <v>5.1100000000000003</v>
      </c>
      <c r="C78" s="63">
        <v>38.299999999999997</v>
      </c>
      <c r="D78" s="63"/>
    </row>
    <row r="79" spans="1:4" x14ac:dyDescent="0.25">
      <c r="A79" s="9" t="s">
        <v>478</v>
      </c>
      <c r="B79" s="63">
        <v>5.16</v>
      </c>
      <c r="C79" s="63">
        <v>36</v>
      </c>
      <c r="D79" s="63"/>
    </row>
    <row r="80" spans="1:4" x14ac:dyDescent="0.25">
      <c r="A80" s="9" t="s">
        <v>477</v>
      </c>
      <c r="B80" s="63">
        <v>5.22</v>
      </c>
      <c r="C80" s="63">
        <v>32</v>
      </c>
      <c r="D80" s="63"/>
    </row>
    <row r="81" spans="1:4" x14ac:dyDescent="0.25">
      <c r="A81" s="9" t="s">
        <v>464</v>
      </c>
      <c r="B81" s="63">
        <v>5.17</v>
      </c>
      <c r="C81" s="63">
        <v>38.799999999999997</v>
      </c>
      <c r="D81" s="63"/>
    </row>
  </sheetData>
  <autoFilter ref="A1:D81" xr:uid="{9E9FF7CC-8233-4536-906E-BB99A489007A}"/>
  <sortState xmlns:xlrd2="http://schemas.microsoft.com/office/spreadsheetml/2017/richdata2" ref="A2:C82">
    <sortCondition descending="1" ref="A1:A8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3B98C-6E0C-47E1-99D7-7015FE79B1A5}">
  <dimension ref="A1:V81"/>
  <sheetViews>
    <sheetView tabSelected="1" workbookViewId="0">
      <selection activeCell="I11" sqref="I11"/>
    </sheetView>
  </sheetViews>
  <sheetFormatPr defaultRowHeight="15" x14ac:dyDescent="0.25"/>
  <cols>
    <col min="1" max="1" width="26.5703125" bestFit="1" customWidth="1"/>
    <col min="2" max="2" width="16.5703125" hidden="1" customWidth="1"/>
    <col min="3" max="3" width="10.42578125" hidden="1" customWidth="1"/>
    <col min="4" max="4" width="17.7109375" hidden="1" customWidth="1"/>
    <col min="5" max="5" width="23.5703125" hidden="1" customWidth="1"/>
    <col min="6" max="6" width="17.42578125" hidden="1" customWidth="1"/>
    <col min="7" max="7" width="23.42578125" style="77" hidden="1" customWidth="1"/>
    <col min="8" max="8" width="13.5703125" customWidth="1"/>
    <col min="9" max="9" width="13.42578125" customWidth="1"/>
    <col min="10" max="10" width="17.5703125" customWidth="1"/>
    <col min="11" max="11" width="19.28515625" customWidth="1"/>
    <col min="12" max="12" width="13.28515625" customWidth="1"/>
    <col min="13" max="13" width="22.5703125" customWidth="1"/>
    <col min="14" max="14" width="18.28515625" style="80" customWidth="1"/>
    <col min="15" max="15" width="16.28515625" customWidth="1"/>
    <col min="16" max="16" width="19" bestFit="1" customWidth="1"/>
    <col min="17" max="17" width="22.42578125" bestFit="1" customWidth="1"/>
    <col min="18" max="18" width="18.140625" bestFit="1" customWidth="1"/>
    <col min="19" max="19" width="14.7109375" style="88" bestFit="1" customWidth="1"/>
    <col min="20" max="20" width="14.140625" style="88" bestFit="1" customWidth="1"/>
  </cols>
  <sheetData>
    <row r="1" spans="1:22" s="64" customFormat="1" x14ac:dyDescent="0.25">
      <c r="A1" s="74" t="s">
        <v>688</v>
      </c>
      <c r="B1" s="74" t="s">
        <v>689</v>
      </c>
      <c r="C1" s="74" t="s">
        <v>691</v>
      </c>
      <c r="D1" s="74" t="s">
        <v>690</v>
      </c>
      <c r="E1" s="74" t="s">
        <v>705</v>
      </c>
      <c r="F1" s="74" t="s">
        <v>692</v>
      </c>
      <c r="G1" s="75" t="s">
        <v>696</v>
      </c>
      <c r="H1" s="74" t="s">
        <v>693</v>
      </c>
      <c r="I1" s="74" t="s">
        <v>699</v>
      </c>
      <c r="J1" s="74" t="s">
        <v>700</v>
      </c>
      <c r="K1" s="74" t="s">
        <v>701</v>
      </c>
      <c r="L1" s="74" t="s">
        <v>707</v>
      </c>
      <c r="M1" s="74" t="s">
        <v>702</v>
      </c>
      <c r="N1" s="78" t="s">
        <v>697</v>
      </c>
      <c r="O1" s="74" t="s">
        <v>694</v>
      </c>
      <c r="P1" s="74" t="s">
        <v>706</v>
      </c>
      <c r="Q1" s="74" t="s">
        <v>703</v>
      </c>
      <c r="R1" s="74" t="s">
        <v>698</v>
      </c>
      <c r="S1" s="86" t="s">
        <v>704</v>
      </c>
      <c r="T1" s="86" t="s">
        <v>708</v>
      </c>
      <c r="U1" s="74" t="s">
        <v>710</v>
      </c>
      <c r="V1" s="74" t="s">
        <v>709</v>
      </c>
    </row>
    <row r="2" spans="1:22" ht="30" x14ac:dyDescent="0.25">
      <c r="A2" s="9" t="s">
        <v>460</v>
      </c>
      <c r="B2" s="63">
        <v>1</v>
      </c>
      <c r="C2" s="63">
        <v>0.95399999999999996</v>
      </c>
      <c r="D2" s="63">
        <v>3.012</v>
      </c>
      <c r="E2" s="63">
        <v>3.915</v>
      </c>
      <c r="F2" s="63">
        <f t="shared" ref="F2:F33" si="0">E2-C2</f>
        <v>2.9610000000000003</v>
      </c>
      <c r="G2" s="76">
        <f t="shared" ref="G2:G33" si="1">((D2-(E2-C2))/(E2-C2))*100</f>
        <v>1.7223910840932017</v>
      </c>
      <c r="H2" s="63">
        <v>40.049999999999997</v>
      </c>
      <c r="I2" s="81">
        <v>45973</v>
      </c>
      <c r="J2" s="63">
        <v>19</v>
      </c>
      <c r="K2" s="63">
        <v>1.5</v>
      </c>
      <c r="L2" s="63">
        <f t="shared" ref="L2:L33" si="2">F2/50</f>
        <v>5.9220000000000009E-2</v>
      </c>
      <c r="M2" s="63">
        <f t="shared" ref="M2:M33" si="3">(J2-K2)*L2</f>
        <v>1.0363500000000001</v>
      </c>
      <c r="N2" s="79">
        <v>0.43958333333333333</v>
      </c>
      <c r="O2" s="63">
        <v>10</v>
      </c>
      <c r="P2" s="63">
        <v>1.5</v>
      </c>
      <c r="Q2" s="63">
        <f t="shared" ref="Q2:Q33" si="4">(O2-P2)*L2</f>
        <v>0.5033700000000001</v>
      </c>
      <c r="R2" s="79">
        <f t="shared" ref="R2:R33" si="5">N2+(TIME(2,0,0))</f>
        <v>0.5229166666666667</v>
      </c>
      <c r="S2" s="87">
        <f t="shared" ref="S2:S33" si="6">M2/F2</f>
        <v>0.35</v>
      </c>
      <c r="T2" s="87">
        <f t="shared" ref="T2:T33" si="7">Q2/F2</f>
        <v>0.17</v>
      </c>
      <c r="U2" s="89">
        <f t="shared" ref="U2:U33" si="8">S2-T2</f>
        <v>0.17999999999999997</v>
      </c>
      <c r="V2" s="89">
        <f t="shared" ref="V2:V33" si="9">1-S2</f>
        <v>0.65</v>
      </c>
    </row>
    <row r="3" spans="1:22" x14ac:dyDescent="0.25">
      <c r="A3" s="9" t="s">
        <v>445</v>
      </c>
      <c r="B3" s="63">
        <v>21</v>
      </c>
      <c r="C3" s="63">
        <v>0.99099999999999999</v>
      </c>
      <c r="D3" s="63">
        <v>3.0339999999999998</v>
      </c>
      <c r="E3" s="63">
        <v>3.972</v>
      </c>
      <c r="F3" s="63">
        <f t="shared" si="0"/>
        <v>2.9809999999999999</v>
      </c>
      <c r="G3" s="76">
        <f t="shared" si="1"/>
        <v>1.7779268701777908</v>
      </c>
      <c r="H3" s="63">
        <v>40.01</v>
      </c>
      <c r="I3" s="81">
        <v>45980</v>
      </c>
      <c r="J3" s="63">
        <v>14.5</v>
      </c>
      <c r="K3" s="63">
        <v>1</v>
      </c>
      <c r="L3" s="63">
        <f t="shared" si="2"/>
        <v>5.9619999999999999E-2</v>
      </c>
      <c r="M3" s="63">
        <f t="shared" si="3"/>
        <v>0.80486999999999997</v>
      </c>
      <c r="N3" s="79">
        <v>8.1944444444444445E-2</v>
      </c>
      <c r="O3" s="63">
        <v>6.5</v>
      </c>
      <c r="P3" s="63">
        <v>1</v>
      </c>
      <c r="Q3" s="63">
        <f t="shared" si="4"/>
        <v>0.32790999999999998</v>
      </c>
      <c r="R3" s="79">
        <f t="shared" si="5"/>
        <v>0.16527777777777777</v>
      </c>
      <c r="S3" s="87">
        <f t="shared" si="6"/>
        <v>0.27</v>
      </c>
      <c r="T3" s="87">
        <f t="shared" si="7"/>
        <v>0.11</v>
      </c>
      <c r="U3" s="89">
        <f t="shared" si="8"/>
        <v>0.16000000000000003</v>
      </c>
      <c r="V3" s="89">
        <f t="shared" si="9"/>
        <v>0.73</v>
      </c>
    </row>
    <row r="4" spans="1:22" x14ac:dyDescent="0.25">
      <c r="A4" s="9" t="s">
        <v>446</v>
      </c>
      <c r="B4" s="63">
        <v>22</v>
      </c>
      <c r="C4" s="63">
        <v>1.006</v>
      </c>
      <c r="D4" s="63">
        <v>3.032</v>
      </c>
      <c r="E4" s="63">
        <v>3.9860000000000002</v>
      </c>
      <c r="F4" s="63">
        <f t="shared" si="0"/>
        <v>2.9800000000000004</v>
      </c>
      <c r="G4" s="76">
        <f t="shared" si="1"/>
        <v>1.7449664429530065</v>
      </c>
      <c r="H4" s="63">
        <v>39.99</v>
      </c>
      <c r="I4" s="81">
        <v>45980</v>
      </c>
      <c r="J4" s="63">
        <v>14.5</v>
      </c>
      <c r="K4" s="63">
        <v>1</v>
      </c>
      <c r="L4" s="63">
        <f t="shared" si="2"/>
        <v>5.9600000000000007E-2</v>
      </c>
      <c r="M4" s="63">
        <f t="shared" si="3"/>
        <v>0.80460000000000009</v>
      </c>
      <c r="N4" s="79">
        <v>8.3333333333333329E-2</v>
      </c>
      <c r="O4" s="63">
        <v>6</v>
      </c>
      <c r="P4" s="63">
        <v>1</v>
      </c>
      <c r="Q4" s="63">
        <f t="shared" si="4"/>
        <v>0.29800000000000004</v>
      </c>
      <c r="R4" s="79">
        <f t="shared" si="5"/>
        <v>0.16666666666666666</v>
      </c>
      <c r="S4" s="87">
        <f t="shared" si="6"/>
        <v>0.27</v>
      </c>
      <c r="T4" s="87">
        <f t="shared" si="7"/>
        <v>0.1</v>
      </c>
      <c r="U4" s="89">
        <f t="shared" si="8"/>
        <v>0.17</v>
      </c>
      <c r="V4" s="89">
        <f t="shared" si="9"/>
        <v>0.73</v>
      </c>
    </row>
    <row r="5" spans="1:22" x14ac:dyDescent="0.25">
      <c r="A5" s="9" t="s">
        <v>401</v>
      </c>
      <c r="B5" s="63">
        <v>1</v>
      </c>
      <c r="C5" s="63">
        <v>0.95599999999999996</v>
      </c>
      <c r="D5" s="63">
        <v>2.99</v>
      </c>
      <c r="E5" s="63">
        <v>3.891</v>
      </c>
      <c r="F5" s="63">
        <f t="shared" si="0"/>
        <v>2.9350000000000001</v>
      </c>
      <c r="G5" s="76">
        <f t="shared" si="1"/>
        <v>1.8739352640545197</v>
      </c>
      <c r="H5" s="63">
        <v>26.47</v>
      </c>
      <c r="I5" s="81">
        <v>45981</v>
      </c>
      <c r="J5" s="63">
        <v>11</v>
      </c>
      <c r="K5" s="63">
        <v>1</v>
      </c>
      <c r="L5" s="63">
        <f t="shared" si="2"/>
        <v>5.8700000000000002E-2</v>
      </c>
      <c r="M5" s="63">
        <f t="shared" si="3"/>
        <v>0.58699999999999997</v>
      </c>
      <c r="N5" s="79">
        <v>0.46736111111111112</v>
      </c>
      <c r="O5" s="63">
        <v>3.5</v>
      </c>
      <c r="P5" s="63">
        <v>1.5</v>
      </c>
      <c r="Q5" s="63">
        <f t="shared" si="4"/>
        <v>0.1174</v>
      </c>
      <c r="R5" s="79">
        <f t="shared" si="5"/>
        <v>0.55069444444444449</v>
      </c>
      <c r="S5" s="87">
        <f t="shared" si="6"/>
        <v>0.19999999999999998</v>
      </c>
      <c r="T5" s="87">
        <f t="shared" si="7"/>
        <v>0.04</v>
      </c>
      <c r="U5" s="89">
        <f t="shared" si="8"/>
        <v>0.15999999999999998</v>
      </c>
      <c r="V5" s="89">
        <f t="shared" si="9"/>
        <v>0.8</v>
      </c>
    </row>
    <row r="6" spans="1:22" x14ac:dyDescent="0.25">
      <c r="A6" s="9" t="s">
        <v>402</v>
      </c>
      <c r="B6" s="63">
        <v>2</v>
      </c>
      <c r="C6" s="63">
        <v>1.4339999999999999</v>
      </c>
      <c r="D6" s="63">
        <v>3.0019999999999998</v>
      </c>
      <c r="E6" s="63">
        <v>4.3890000000000002</v>
      </c>
      <c r="F6" s="63">
        <f t="shared" si="0"/>
        <v>2.9550000000000001</v>
      </c>
      <c r="G6" s="76">
        <f t="shared" si="1"/>
        <v>1.5905245346869614</v>
      </c>
      <c r="H6" s="63">
        <v>19.88</v>
      </c>
      <c r="I6" s="81">
        <v>45981</v>
      </c>
      <c r="J6" s="63">
        <v>7</v>
      </c>
      <c r="K6" s="63">
        <v>1</v>
      </c>
      <c r="L6" s="63">
        <f t="shared" si="2"/>
        <v>5.91E-2</v>
      </c>
      <c r="M6" s="63">
        <f t="shared" si="3"/>
        <v>0.35460000000000003</v>
      </c>
      <c r="N6" s="79">
        <v>0.47013888888888888</v>
      </c>
      <c r="O6" s="63">
        <v>3</v>
      </c>
      <c r="P6" s="63">
        <v>1.5</v>
      </c>
      <c r="Q6" s="63">
        <f t="shared" si="4"/>
        <v>8.8650000000000007E-2</v>
      </c>
      <c r="R6" s="79">
        <f t="shared" si="5"/>
        <v>0.55347222222222225</v>
      </c>
      <c r="S6" s="87">
        <f t="shared" si="6"/>
        <v>0.12000000000000001</v>
      </c>
      <c r="T6" s="87">
        <f t="shared" si="7"/>
        <v>3.0000000000000002E-2</v>
      </c>
      <c r="U6" s="89">
        <f t="shared" si="8"/>
        <v>9.0000000000000011E-2</v>
      </c>
      <c r="V6" s="89">
        <f t="shared" si="9"/>
        <v>0.88</v>
      </c>
    </row>
    <row r="7" spans="1:22" x14ac:dyDescent="0.25">
      <c r="A7" s="9" t="s">
        <v>403</v>
      </c>
      <c r="B7" s="63">
        <v>3</v>
      </c>
      <c r="C7" s="63">
        <v>1.004</v>
      </c>
      <c r="D7" s="63">
        <v>3.0019999999999998</v>
      </c>
      <c r="E7" s="63">
        <v>3.9569999999999999</v>
      </c>
      <c r="F7" s="63">
        <f t="shared" si="0"/>
        <v>2.9529999999999998</v>
      </c>
      <c r="G7" s="76">
        <f t="shared" si="1"/>
        <v>1.6593294954283757</v>
      </c>
      <c r="H7" s="63">
        <v>22.03</v>
      </c>
      <c r="I7" s="81">
        <v>45981</v>
      </c>
      <c r="J7" s="63">
        <v>8</v>
      </c>
      <c r="K7" s="63">
        <v>1</v>
      </c>
      <c r="L7" s="63">
        <f t="shared" si="2"/>
        <v>5.9059999999999994E-2</v>
      </c>
      <c r="M7" s="63">
        <f t="shared" si="3"/>
        <v>0.41341999999999995</v>
      </c>
      <c r="N7" s="79">
        <v>0.47222222222222221</v>
      </c>
      <c r="O7" s="63">
        <v>2.5</v>
      </c>
      <c r="P7" s="63">
        <v>1.5</v>
      </c>
      <c r="Q7" s="63">
        <f t="shared" si="4"/>
        <v>5.9059999999999994E-2</v>
      </c>
      <c r="R7" s="79">
        <f t="shared" si="5"/>
        <v>0.55555555555555558</v>
      </c>
      <c r="S7" s="87">
        <f t="shared" si="6"/>
        <v>0.13999999999999999</v>
      </c>
      <c r="T7" s="87">
        <f t="shared" si="7"/>
        <v>0.02</v>
      </c>
      <c r="U7" s="89">
        <f t="shared" si="8"/>
        <v>0.11999999999999998</v>
      </c>
      <c r="V7" s="89">
        <f t="shared" si="9"/>
        <v>0.86</v>
      </c>
    </row>
    <row r="8" spans="1:22" x14ac:dyDescent="0.25">
      <c r="A8" s="9" t="s">
        <v>404</v>
      </c>
      <c r="B8" s="63">
        <v>4</v>
      </c>
      <c r="C8" s="63">
        <v>0.95199999999999996</v>
      </c>
      <c r="D8" s="63">
        <v>3</v>
      </c>
      <c r="E8" s="63">
        <v>3.9129999999999998</v>
      </c>
      <c r="F8" s="63">
        <f t="shared" si="0"/>
        <v>2.9609999999999999</v>
      </c>
      <c r="G8" s="76">
        <f t="shared" si="1"/>
        <v>1.3171225937183433</v>
      </c>
      <c r="H8" s="63">
        <v>18.559999999999999</v>
      </c>
      <c r="I8" s="81">
        <v>45981</v>
      </c>
      <c r="J8" s="63">
        <v>6.5</v>
      </c>
      <c r="K8" s="63">
        <v>1</v>
      </c>
      <c r="L8" s="63">
        <f t="shared" si="2"/>
        <v>5.9219999999999995E-2</v>
      </c>
      <c r="M8" s="63">
        <f t="shared" si="3"/>
        <v>0.32570999999999994</v>
      </c>
      <c r="N8" s="79">
        <v>0.47361111111111109</v>
      </c>
      <c r="O8" s="63">
        <v>2.5</v>
      </c>
      <c r="P8" s="63">
        <v>1.5</v>
      </c>
      <c r="Q8" s="63">
        <f t="shared" si="4"/>
        <v>5.9219999999999995E-2</v>
      </c>
      <c r="R8" s="79">
        <f t="shared" si="5"/>
        <v>0.55694444444444446</v>
      </c>
      <c r="S8" s="87">
        <f t="shared" si="6"/>
        <v>0.10999999999999999</v>
      </c>
      <c r="T8" s="87">
        <f t="shared" si="7"/>
        <v>0.02</v>
      </c>
      <c r="U8" s="89">
        <f t="shared" si="8"/>
        <v>8.9999999999999983E-2</v>
      </c>
      <c r="V8" s="89">
        <f t="shared" si="9"/>
        <v>0.89</v>
      </c>
    </row>
    <row r="9" spans="1:22" x14ac:dyDescent="0.25">
      <c r="A9" s="9" t="s">
        <v>405</v>
      </c>
      <c r="B9" s="63">
        <v>5</v>
      </c>
      <c r="C9" s="63">
        <v>0.95299999999999996</v>
      </c>
      <c r="D9" s="63">
        <v>3.0059999999999998</v>
      </c>
      <c r="E9" s="63">
        <v>3.915</v>
      </c>
      <c r="F9" s="63">
        <f t="shared" si="0"/>
        <v>2.9620000000000002</v>
      </c>
      <c r="G9" s="76">
        <f t="shared" si="1"/>
        <v>1.4854827819041052</v>
      </c>
      <c r="H9" s="63">
        <v>22.52</v>
      </c>
      <c r="I9" s="81">
        <v>45981</v>
      </c>
      <c r="J9" s="63">
        <v>8.5</v>
      </c>
      <c r="K9" s="63">
        <v>1</v>
      </c>
      <c r="L9" s="63">
        <f t="shared" si="2"/>
        <v>5.9240000000000001E-2</v>
      </c>
      <c r="M9" s="63">
        <f t="shared" si="3"/>
        <v>0.44430000000000003</v>
      </c>
      <c r="N9" s="79">
        <v>0.47499999999999998</v>
      </c>
      <c r="O9" s="63">
        <v>3.5</v>
      </c>
      <c r="P9" s="63">
        <v>1.5</v>
      </c>
      <c r="Q9" s="63">
        <f t="shared" si="4"/>
        <v>0.11848</v>
      </c>
      <c r="R9" s="79">
        <f t="shared" si="5"/>
        <v>0.55833333333333335</v>
      </c>
      <c r="S9" s="87">
        <f t="shared" si="6"/>
        <v>0.15</v>
      </c>
      <c r="T9" s="87">
        <f t="shared" si="7"/>
        <v>0.04</v>
      </c>
      <c r="U9" s="89">
        <f t="shared" si="8"/>
        <v>0.10999999999999999</v>
      </c>
      <c r="V9" s="89">
        <f t="shared" si="9"/>
        <v>0.85</v>
      </c>
    </row>
    <row r="10" spans="1:22" x14ac:dyDescent="0.25">
      <c r="A10" s="9" t="s">
        <v>406</v>
      </c>
      <c r="B10" s="63">
        <v>6</v>
      </c>
      <c r="C10" s="63">
        <v>0.96499999999999997</v>
      </c>
      <c r="D10" s="63">
        <v>3.0139999999999998</v>
      </c>
      <c r="E10" s="63">
        <v>3.9239999999999999</v>
      </c>
      <c r="F10" s="63">
        <f t="shared" si="0"/>
        <v>2.9590000000000001</v>
      </c>
      <c r="G10" s="76">
        <f t="shared" si="1"/>
        <v>1.8587360594795443</v>
      </c>
      <c r="H10" s="63">
        <v>20.64</v>
      </c>
      <c r="I10" s="81">
        <v>45981</v>
      </c>
      <c r="J10" s="63">
        <v>7.5</v>
      </c>
      <c r="K10" s="63">
        <v>1</v>
      </c>
      <c r="L10" s="63">
        <f t="shared" si="2"/>
        <v>5.9180000000000003E-2</v>
      </c>
      <c r="M10" s="63">
        <f t="shared" si="3"/>
        <v>0.38467000000000001</v>
      </c>
      <c r="N10" s="79">
        <v>0.47638888888888886</v>
      </c>
      <c r="O10" s="63">
        <v>4</v>
      </c>
      <c r="P10" s="63">
        <v>1.5</v>
      </c>
      <c r="Q10" s="63">
        <f t="shared" si="4"/>
        <v>0.14795</v>
      </c>
      <c r="R10" s="79">
        <f t="shared" si="5"/>
        <v>0.55972222222222223</v>
      </c>
      <c r="S10" s="87">
        <f t="shared" si="6"/>
        <v>0.13</v>
      </c>
      <c r="T10" s="87">
        <f t="shared" si="7"/>
        <v>4.9999999999999996E-2</v>
      </c>
      <c r="U10" s="89">
        <f t="shared" si="8"/>
        <v>8.0000000000000016E-2</v>
      </c>
      <c r="V10" s="89">
        <f t="shared" si="9"/>
        <v>0.87</v>
      </c>
    </row>
    <row r="11" spans="1:22" x14ac:dyDescent="0.25">
      <c r="A11" s="9" t="s">
        <v>407</v>
      </c>
      <c r="B11" s="63">
        <v>7</v>
      </c>
      <c r="C11" s="63">
        <v>1.3220000000000001</v>
      </c>
      <c r="D11" s="63">
        <v>3.0150000000000001</v>
      </c>
      <c r="E11" s="63">
        <v>4.2690000000000001</v>
      </c>
      <c r="F11" s="63">
        <f t="shared" si="0"/>
        <v>2.9470000000000001</v>
      </c>
      <c r="G11" s="76">
        <f t="shared" si="1"/>
        <v>2.3074312860536161</v>
      </c>
      <c r="H11" s="63">
        <v>33.450000000000003</v>
      </c>
      <c r="I11" s="81">
        <v>45981</v>
      </c>
      <c r="J11" s="63">
        <v>11</v>
      </c>
      <c r="K11" s="63">
        <v>1</v>
      </c>
      <c r="L11" s="63">
        <f t="shared" si="2"/>
        <v>5.8939999999999999E-2</v>
      </c>
      <c r="M11" s="63">
        <f t="shared" si="3"/>
        <v>0.58940000000000003</v>
      </c>
      <c r="N11" s="79">
        <v>0.4777777777777778</v>
      </c>
      <c r="O11" s="63">
        <v>4.5</v>
      </c>
      <c r="P11" s="63">
        <v>1.5</v>
      </c>
      <c r="Q11" s="63">
        <f t="shared" si="4"/>
        <v>0.17682</v>
      </c>
      <c r="R11" s="79">
        <f t="shared" si="5"/>
        <v>0.56111111111111112</v>
      </c>
      <c r="S11" s="87">
        <f t="shared" si="6"/>
        <v>0.2</v>
      </c>
      <c r="T11" s="87">
        <f t="shared" si="7"/>
        <v>0.06</v>
      </c>
      <c r="U11" s="89">
        <f t="shared" si="8"/>
        <v>0.14000000000000001</v>
      </c>
      <c r="V11" s="89">
        <f t="shared" si="9"/>
        <v>0.8</v>
      </c>
    </row>
    <row r="12" spans="1:22" x14ac:dyDescent="0.25">
      <c r="A12" s="9" t="s">
        <v>408</v>
      </c>
      <c r="B12" s="63">
        <v>8</v>
      </c>
      <c r="C12" s="63">
        <v>0.98299999999999998</v>
      </c>
      <c r="D12" s="63">
        <v>3.0019999999999998</v>
      </c>
      <c r="E12" s="63">
        <v>3.9260000000000002</v>
      </c>
      <c r="F12" s="63">
        <f t="shared" si="0"/>
        <v>2.9430000000000001</v>
      </c>
      <c r="G12" s="76">
        <f t="shared" si="1"/>
        <v>2.0047570506286005</v>
      </c>
      <c r="H12" s="63">
        <v>32</v>
      </c>
      <c r="I12" s="81">
        <v>45981</v>
      </c>
      <c r="J12" s="63">
        <v>11</v>
      </c>
      <c r="K12" s="63">
        <v>1</v>
      </c>
      <c r="L12" s="63">
        <f t="shared" si="2"/>
        <v>5.8860000000000003E-2</v>
      </c>
      <c r="M12" s="63">
        <f t="shared" si="3"/>
        <v>0.58860000000000001</v>
      </c>
      <c r="N12" s="79">
        <v>0.47986111111111113</v>
      </c>
      <c r="O12" s="63">
        <v>4</v>
      </c>
      <c r="P12" s="63">
        <v>1.5</v>
      </c>
      <c r="Q12" s="63">
        <f t="shared" si="4"/>
        <v>0.14715</v>
      </c>
      <c r="R12" s="79">
        <f t="shared" si="5"/>
        <v>0.56319444444444444</v>
      </c>
      <c r="S12" s="87">
        <f t="shared" si="6"/>
        <v>0.2</v>
      </c>
      <c r="T12" s="87">
        <f t="shared" si="7"/>
        <v>0.05</v>
      </c>
      <c r="U12" s="89">
        <f t="shared" si="8"/>
        <v>0.15000000000000002</v>
      </c>
      <c r="V12" s="89">
        <f t="shared" si="9"/>
        <v>0.8</v>
      </c>
    </row>
    <row r="13" spans="1:22" ht="30" x14ac:dyDescent="0.25">
      <c r="A13" s="9" t="s">
        <v>459</v>
      </c>
      <c r="B13" s="63">
        <v>2</v>
      </c>
      <c r="C13" s="63">
        <v>1.4339999999999999</v>
      </c>
      <c r="D13" s="63">
        <v>3.028</v>
      </c>
      <c r="E13" s="63">
        <v>4.4020000000000001</v>
      </c>
      <c r="F13" s="63">
        <f t="shared" si="0"/>
        <v>2.968</v>
      </c>
      <c r="G13" s="76">
        <f t="shared" si="1"/>
        <v>2.0215633423180615</v>
      </c>
      <c r="H13" s="63">
        <v>39.97</v>
      </c>
      <c r="I13" s="81">
        <v>45973</v>
      </c>
      <c r="J13" s="63">
        <v>18.5</v>
      </c>
      <c r="K13" s="63">
        <v>1.5</v>
      </c>
      <c r="L13" s="63">
        <f t="shared" si="2"/>
        <v>5.9359999999999996E-2</v>
      </c>
      <c r="M13" s="63">
        <f t="shared" si="3"/>
        <v>1.00912</v>
      </c>
      <c r="N13" s="79">
        <v>0.44027777777777777</v>
      </c>
      <c r="O13" s="63">
        <v>10</v>
      </c>
      <c r="P13" s="63">
        <v>1.5</v>
      </c>
      <c r="Q13" s="63">
        <f t="shared" si="4"/>
        <v>0.50456000000000001</v>
      </c>
      <c r="R13" s="79">
        <f t="shared" si="5"/>
        <v>0.52361111111111114</v>
      </c>
      <c r="S13" s="87">
        <f t="shared" si="6"/>
        <v>0.34</v>
      </c>
      <c r="T13" s="87">
        <f t="shared" si="7"/>
        <v>0.17</v>
      </c>
      <c r="U13" s="89">
        <f t="shared" si="8"/>
        <v>0.17</v>
      </c>
      <c r="V13" s="89">
        <f t="shared" si="9"/>
        <v>0.65999999999999992</v>
      </c>
    </row>
    <row r="14" spans="1:22" ht="30" x14ac:dyDescent="0.25">
      <c r="A14" s="9" t="s">
        <v>458</v>
      </c>
      <c r="B14" s="63">
        <v>3</v>
      </c>
      <c r="C14" s="63">
        <v>1.004</v>
      </c>
      <c r="D14" s="63">
        <v>3.0179999999999998</v>
      </c>
      <c r="E14" s="63">
        <v>3.9649999999999999</v>
      </c>
      <c r="F14" s="63">
        <f t="shared" si="0"/>
        <v>2.9609999999999999</v>
      </c>
      <c r="G14" s="76">
        <f t="shared" si="1"/>
        <v>1.9250253292806465</v>
      </c>
      <c r="H14" s="63">
        <v>40.01</v>
      </c>
      <c r="I14" s="81">
        <v>45973</v>
      </c>
      <c r="J14" s="63">
        <v>20</v>
      </c>
      <c r="K14" s="63">
        <v>1.5</v>
      </c>
      <c r="L14" s="63">
        <f t="shared" si="2"/>
        <v>5.9219999999999995E-2</v>
      </c>
      <c r="M14" s="63">
        <f t="shared" si="3"/>
        <v>1.0955699999999999</v>
      </c>
      <c r="N14" s="79">
        <v>0.44166666666666665</v>
      </c>
      <c r="O14" s="63">
        <v>9.5</v>
      </c>
      <c r="P14" s="63">
        <v>1.5</v>
      </c>
      <c r="Q14" s="63">
        <f t="shared" si="4"/>
        <v>0.47375999999999996</v>
      </c>
      <c r="R14" s="79">
        <f t="shared" si="5"/>
        <v>0.52500000000000002</v>
      </c>
      <c r="S14" s="87">
        <f t="shared" si="6"/>
        <v>0.37</v>
      </c>
      <c r="T14" s="87">
        <f t="shared" si="7"/>
        <v>0.16</v>
      </c>
      <c r="U14" s="89">
        <f t="shared" si="8"/>
        <v>0.21</v>
      </c>
      <c r="V14" s="89">
        <f t="shared" si="9"/>
        <v>0.63</v>
      </c>
    </row>
    <row r="15" spans="1:22" ht="30" x14ac:dyDescent="0.25">
      <c r="A15" s="9" t="s">
        <v>457</v>
      </c>
      <c r="B15" s="63">
        <v>4</v>
      </c>
      <c r="C15" s="63">
        <v>0.95499999999999996</v>
      </c>
      <c r="D15" s="63">
        <v>3.012</v>
      </c>
      <c r="E15" s="63">
        <v>3.92</v>
      </c>
      <c r="F15" s="63">
        <f t="shared" si="0"/>
        <v>2.9649999999999999</v>
      </c>
      <c r="G15" s="76">
        <f t="shared" si="1"/>
        <v>1.5851602023608822</v>
      </c>
      <c r="H15" s="63">
        <v>40.090000000000003</v>
      </c>
      <c r="I15" s="81">
        <v>45973</v>
      </c>
      <c r="J15" s="63">
        <v>17</v>
      </c>
      <c r="K15" s="63">
        <v>1.5</v>
      </c>
      <c r="L15" s="63">
        <f t="shared" si="2"/>
        <v>5.9299999999999999E-2</v>
      </c>
      <c r="M15" s="63">
        <f t="shared" si="3"/>
        <v>0.91915000000000002</v>
      </c>
      <c r="N15" s="79">
        <v>0.44444444444444442</v>
      </c>
      <c r="O15" s="63">
        <v>8</v>
      </c>
      <c r="P15" s="63">
        <v>1.5</v>
      </c>
      <c r="Q15" s="63">
        <f t="shared" si="4"/>
        <v>0.38545000000000001</v>
      </c>
      <c r="R15" s="79">
        <f t="shared" si="5"/>
        <v>0.52777777777777779</v>
      </c>
      <c r="S15" s="87">
        <f t="shared" si="6"/>
        <v>0.31</v>
      </c>
      <c r="T15" s="87">
        <f t="shared" si="7"/>
        <v>0.13</v>
      </c>
      <c r="U15" s="89">
        <f t="shared" si="8"/>
        <v>0.18</v>
      </c>
      <c r="V15" s="89">
        <f t="shared" si="9"/>
        <v>0.69</v>
      </c>
    </row>
    <row r="16" spans="1:22" ht="30" x14ac:dyDescent="0.25">
      <c r="A16" s="9" t="s">
        <v>456</v>
      </c>
      <c r="B16" s="63">
        <v>5</v>
      </c>
      <c r="C16" s="63">
        <v>0.95599999999999996</v>
      </c>
      <c r="D16" s="63">
        <v>3.016</v>
      </c>
      <c r="E16" s="63">
        <v>3.9220000000000002</v>
      </c>
      <c r="F16" s="63">
        <f t="shared" si="0"/>
        <v>2.9660000000000002</v>
      </c>
      <c r="G16" s="76">
        <f t="shared" si="1"/>
        <v>1.6857720836142893</v>
      </c>
      <c r="H16" s="63">
        <v>39.96</v>
      </c>
      <c r="I16" s="81">
        <v>45973</v>
      </c>
      <c r="J16" s="63">
        <v>17</v>
      </c>
      <c r="K16" s="63">
        <v>1.5</v>
      </c>
      <c r="L16" s="63">
        <f t="shared" si="2"/>
        <v>5.9320000000000005E-2</v>
      </c>
      <c r="M16" s="63">
        <f t="shared" si="3"/>
        <v>0.91946000000000006</v>
      </c>
      <c r="N16" s="79">
        <v>0.44583333333333336</v>
      </c>
      <c r="O16" s="63">
        <v>7.5</v>
      </c>
      <c r="P16" s="63">
        <v>1.5</v>
      </c>
      <c r="Q16" s="63">
        <f t="shared" si="4"/>
        <v>0.35592000000000001</v>
      </c>
      <c r="R16" s="79">
        <f t="shared" si="5"/>
        <v>0.52916666666666667</v>
      </c>
      <c r="S16" s="87">
        <f t="shared" si="6"/>
        <v>0.31</v>
      </c>
      <c r="T16" s="87">
        <f t="shared" si="7"/>
        <v>0.12</v>
      </c>
      <c r="U16" s="89">
        <f t="shared" si="8"/>
        <v>0.19</v>
      </c>
      <c r="V16" s="89">
        <f t="shared" si="9"/>
        <v>0.69</v>
      </c>
    </row>
    <row r="17" spans="1:22" x14ac:dyDescent="0.25">
      <c r="A17" s="9" t="s">
        <v>411</v>
      </c>
      <c r="B17" s="63">
        <v>6</v>
      </c>
      <c r="C17" s="63">
        <v>0.96599999999999997</v>
      </c>
      <c r="D17" s="63">
        <v>3.008</v>
      </c>
      <c r="E17" s="63">
        <v>3.9460000000000002</v>
      </c>
      <c r="F17" s="63">
        <f t="shared" si="0"/>
        <v>2.9800000000000004</v>
      </c>
      <c r="G17" s="76">
        <f t="shared" si="1"/>
        <v>0.93959731543622749</v>
      </c>
      <c r="H17" s="63">
        <v>39.96</v>
      </c>
      <c r="I17" s="81">
        <v>45973</v>
      </c>
      <c r="J17" s="63">
        <v>9.5</v>
      </c>
      <c r="K17" s="63">
        <v>1.5</v>
      </c>
      <c r="L17" s="63">
        <f t="shared" si="2"/>
        <v>5.9600000000000007E-2</v>
      </c>
      <c r="M17" s="63">
        <f t="shared" si="3"/>
        <v>0.47680000000000006</v>
      </c>
      <c r="N17" s="79">
        <v>0.4465277777777778</v>
      </c>
      <c r="O17" s="63">
        <v>4</v>
      </c>
      <c r="P17" s="63">
        <v>1.5</v>
      </c>
      <c r="Q17" s="63">
        <f t="shared" si="4"/>
        <v>0.14900000000000002</v>
      </c>
      <c r="R17" s="79">
        <f t="shared" si="5"/>
        <v>0.52986111111111112</v>
      </c>
      <c r="S17" s="87">
        <f t="shared" si="6"/>
        <v>0.16</v>
      </c>
      <c r="T17" s="87">
        <f t="shared" si="7"/>
        <v>0.05</v>
      </c>
      <c r="U17" s="89">
        <f t="shared" si="8"/>
        <v>0.11</v>
      </c>
      <c r="V17" s="89">
        <f t="shared" si="9"/>
        <v>0.84</v>
      </c>
    </row>
    <row r="18" spans="1:22" x14ac:dyDescent="0.25">
      <c r="A18" s="9" t="s">
        <v>471</v>
      </c>
      <c r="B18" s="63">
        <v>1</v>
      </c>
      <c r="C18" s="63">
        <v>0.95799999999999996</v>
      </c>
      <c r="D18" s="63">
        <v>3.0070000000000001</v>
      </c>
      <c r="E18" s="63">
        <v>3.9089999999999998</v>
      </c>
      <c r="F18" s="63">
        <f t="shared" si="0"/>
        <v>2.9509999999999996</v>
      </c>
      <c r="G18" s="76">
        <f t="shared" si="1"/>
        <v>1.8976618095560998</v>
      </c>
      <c r="H18" s="63">
        <v>39.99</v>
      </c>
      <c r="I18" s="81">
        <v>45975</v>
      </c>
      <c r="J18" s="63">
        <v>12</v>
      </c>
      <c r="K18" s="63">
        <v>1.5</v>
      </c>
      <c r="L18" s="63">
        <f t="shared" si="2"/>
        <v>5.9019999999999989E-2</v>
      </c>
      <c r="M18" s="63">
        <f t="shared" si="3"/>
        <v>0.61970999999999987</v>
      </c>
      <c r="N18" s="79">
        <v>0.44305555555555554</v>
      </c>
      <c r="O18" s="63">
        <v>6.5</v>
      </c>
      <c r="P18" s="63">
        <v>1.5</v>
      </c>
      <c r="Q18" s="63">
        <f t="shared" si="4"/>
        <v>0.29509999999999992</v>
      </c>
      <c r="R18" s="79">
        <f t="shared" si="5"/>
        <v>0.52638888888888891</v>
      </c>
      <c r="S18" s="87">
        <f t="shared" si="6"/>
        <v>0.21</v>
      </c>
      <c r="T18" s="87">
        <f t="shared" si="7"/>
        <v>9.9999999999999992E-2</v>
      </c>
      <c r="U18" s="89">
        <f t="shared" si="8"/>
        <v>0.11</v>
      </c>
      <c r="V18" s="89">
        <f t="shared" si="9"/>
        <v>0.79</v>
      </c>
    </row>
    <row r="19" spans="1:22" x14ac:dyDescent="0.25">
      <c r="A19" s="9" t="s">
        <v>435</v>
      </c>
      <c r="B19" s="63">
        <v>9</v>
      </c>
      <c r="C19" s="63">
        <v>1.2909999999999999</v>
      </c>
      <c r="D19" s="63">
        <v>3.0230000000000001</v>
      </c>
      <c r="E19" s="63">
        <v>4.274</v>
      </c>
      <c r="F19" s="63">
        <f t="shared" si="0"/>
        <v>2.9830000000000001</v>
      </c>
      <c r="G19" s="76">
        <f t="shared" si="1"/>
        <v>1.3409319477036552</v>
      </c>
      <c r="H19" s="63">
        <v>40</v>
      </c>
      <c r="I19" s="81">
        <v>45981</v>
      </c>
      <c r="J19" s="63">
        <v>17</v>
      </c>
      <c r="K19" s="63">
        <v>1</v>
      </c>
      <c r="L19" s="63">
        <f t="shared" si="2"/>
        <v>5.9660000000000005E-2</v>
      </c>
      <c r="M19" s="63">
        <f t="shared" si="3"/>
        <v>0.95456000000000008</v>
      </c>
      <c r="N19" s="79">
        <v>0.48125000000000001</v>
      </c>
      <c r="O19" s="63">
        <v>7</v>
      </c>
      <c r="P19" s="63">
        <v>1.5</v>
      </c>
      <c r="Q19" s="63">
        <f t="shared" si="4"/>
        <v>0.32813000000000003</v>
      </c>
      <c r="R19" s="79">
        <f t="shared" si="5"/>
        <v>0.56458333333333333</v>
      </c>
      <c r="S19" s="87">
        <f t="shared" si="6"/>
        <v>0.32</v>
      </c>
      <c r="T19" s="87">
        <f t="shared" si="7"/>
        <v>0.11</v>
      </c>
      <c r="U19" s="89">
        <f t="shared" si="8"/>
        <v>0.21000000000000002</v>
      </c>
      <c r="V19" s="89">
        <f t="shared" si="9"/>
        <v>0.67999999999999994</v>
      </c>
    </row>
    <row r="20" spans="1:22" x14ac:dyDescent="0.25">
      <c r="A20" s="9" t="s">
        <v>436</v>
      </c>
      <c r="B20" s="63">
        <v>10</v>
      </c>
      <c r="C20" s="63">
        <v>0.95299999999999996</v>
      </c>
      <c r="D20" s="63">
        <v>3.02</v>
      </c>
      <c r="E20" s="63">
        <v>3.9329999999999998</v>
      </c>
      <c r="F20" s="63">
        <f t="shared" si="0"/>
        <v>2.98</v>
      </c>
      <c r="G20" s="76">
        <f t="shared" si="1"/>
        <v>1.342281879194632</v>
      </c>
      <c r="H20" s="63">
        <v>38.76</v>
      </c>
      <c r="I20" s="81">
        <v>45981</v>
      </c>
      <c r="J20" s="63">
        <v>18.5</v>
      </c>
      <c r="K20" s="63">
        <v>1</v>
      </c>
      <c r="L20" s="63">
        <f t="shared" si="2"/>
        <v>5.96E-2</v>
      </c>
      <c r="M20" s="63">
        <f t="shared" si="3"/>
        <v>1.0429999999999999</v>
      </c>
      <c r="N20" s="79">
        <v>0.48194444444444445</v>
      </c>
      <c r="O20" s="63">
        <v>8</v>
      </c>
      <c r="P20" s="63">
        <v>1.5</v>
      </c>
      <c r="Q20" s="63">
        <f t="shared" si="4"/>
        <v>0.38740000000000002</v>
      </c>
      <c r="R20" s="79">
        <f t="shared" si="5"/>
        <v>0.56527777777777777</v>
      </c>
      <c r="S20" s="87">
        <f t="shared" si="6"/>
        <v>0.35</v>
      </c>
      <c r="T20" s="87">
        <f t="shared" si="7"/>
        <v>0.13</v>
      </c>
      <c r="U20" s="89">
        <f t="shared" si="8"/>
        <v>0.21999999999999997</v>
      </c>
      <c r="V20" s="89">
        <f t="shared" si="9"/>
        <v>0.65</v>
      </c>
    </row>
    <row r="21" spans="1:22" x14ac:dyDescent="0.25">
      <c r="A21" s="9" t="s">
        <v>447</v>
      </c>
      <c r="B21" s="63">
        <v>23</v>
      </c>
      <c r="C21" s="63">
        <v>1.004</v>
      </c>
      <c r="D21" s="63">
        <v>3.0459999999999998</v>
      </c>
      <c r="E21" s="63">
        <v>3.9980000000000002</v>
      </c>
      <c r="F21" s="63">
        <f t="shared" si="0"/>
        <v>2.9940000000000002</v>
      </c>
      <c r="G21" s="76">
        <f t="shared" si="1"/>
        <v>1.7368069472277754</v>
      </c>
      <c r="H21" s="63">
        <v>40.090000000000003</v>
      </c>
      <c r="I21" s="81">
        <v>45980</v>
      </c>
      <c r="J21" s="63">
        <v>14</v>
      </c>
      <c r="K21" s="63">
        <v>1</v>
      </c>
      <c r="L21" s="63">
        <f t="shared" si="2"/>
        <v>5.9880000000000003E-2</v>
      </c>
      <c r="M21" s="63">
        <f t="shared" si="3"/>
        <v>0.77844000000000002</v>
      </c>
      <c r="N21" s="79">
        <v>8.4722222222222227E-2</v>
      </c>
      <c r="O21" s="63">
        <v>7</v>
      </c>
      <c r="P21" s="63">
        <v>1</v>
      </c>
      <c r="Q21" s="63">
        <f t="shared" si="4"/>
        <v>0.35928000000000004</v>
      </c>
      <c r="R21" s="79">
        <f t="shared" si="5"/>
        <v>0.16805555555555557</v>
      </c>
      <c r="S21" s="87">
        <f t="shared" si="6"/>
        <v>0.26</v>
      </c>
      <c r="T21" s="87">
        <f t="shared" si="7"/>
        <v>0.12000000000000001</v>
      </c>
      <c r="U21" s="89">
        <f t="shared" si="8"/>
        <v>0.14000000000000001</v>
      </c>
      <c r="V21" s="89">
        <f t="shared" si="9"/>
        <v>0.74</v>
      </c>
    </row>
    <row r="22" spans="1:22" x14ac:dyDescent="0.25">
      <c r="A22" s="9" t="s">
        <v>437</v>
      </c>
      <c r="B22" s="63">
        <v>11</v>
      </c>
      <c r="C22" s="63">
        <v>0.98399999999999999</v>
      </c>
      <c r="D22" s="63">
        <v>3.016</v>
      </c>
      <c r="E22" s="63">
        <v>3.9540000000000002</v>
      </c>
      <c r="F22" s="63">
        <f t="shared" si="0"/>
        <v>2.97</v>
      </c>
      <c r="G22" s="76">
        <f t="shared" si="1"/>
        <v>1.5488215488215427</v>
      </c>
      <c r="H22" s="63">
        <v>40.04</v>
      </c>
      <c r="I22" s="81">
        <v>45981</v>
      </c>
      <c r="J22" s="63">
        <v>18.5</v>
      </c>
      <c r="K22" s="63">
        <v>1</v>
      </c>
      <c r="L22" s="63">
        <f t="shared" si="2"/>
        <v>5.9400000000000001E-2</v>
      </c>
      <c r="M22" s="63">
        <f t="shared" si="3"/>
        <v>1.0395000000000001</v>
      </c>
      <c r="N22" s="79">
        <v>0.48402777777777778</v>
      </c>
      <c r="O22" s="63">
        <v>9.5</v>
      </c>
      <c r="P22" s="63">
        <v>1.5</v>
      </c>
      <c r="Q22" s="63">
        <f t="shared" si="4"/>
        <v>0.47520000000000001</v>
      </c>
      <c r="R22" s="79">
        <f t="shared" si="5"/>
        <v>0.56736111111111109</v>
      </c>
      <c r="S22" s="87">
        <f t="shared" si="6"/>
        <v>0.35000000000000003</v>
      </c>
      <c r="T22" s="87">
        <f t="shared" si="7"/>
        <v>0.16</v>
      </c>
      <c r="U22" s="89">
        <f t="shared" si="8"/>
        <v>0.19000000000000003</v>
      </c>
      <c r="V22" s="89">
        <f t="shared" si="9"/>
        <v>0.64999999999999991</v>
      </c>
    </row>
    <row r="23" spans="1:22" x14ac:dyDescent="0.25">
      <c r="A23" s="9" t="s">
        <v>438</v>
      </c>
      <c r="B23" s="63">
        <v>17</v>
      </c>
      <c r="C23" s="63">
        <v>1.004</v>
      </c>
      <c r="D23" s="63">
        <v>3</v>
      </c>
      <c r="E23" s="63">
        <v>3.9580000000000002</v>
      </c>
      <c r="F23" s="63">
        <f t="shared" si="0"/>
        <v>2.9540000000000002</v>
      </c>
      <c r="G23" s="76">
        <f t="shared" si="1"/>
        <v>1.5572105619498922</v>
      </c>
      <c r="H23" s="63">
        <v>39.979999999999997</v>
      </c>
      <c r="I23" s="81">
        <v>45981</v>
      </c>
      <c r="J23" s="63">
        <v>18</v>
      </c>
      <c r="K23" s="63">
        <v>1</v>
      </c>
      <c r="L23" s="63">
        <f t="shared" si="2"/>
        <v>5.9080000000000001E-2</v>
      </c>
      <c r="M23" s="63">
        <f t="shared" si="3"/>
        <v>1.0043599999999999</v>
      </c>
      <c r="N23" s="79">
        <v>0.48472222222222222</v>
      </c>
      <c r="O23" s="63">
        <v>9</v>
      </c>
      <c r="P23" s="63">
        <v>1.5</v>
      </c>
      <c r="Q23" s="63">
        <f t="shared" si="4"/>
        <v>0.44309999999999999</v>
      </c>
      <c r="R23" s="79">
        <f t="shared" si="5"/>
        <v>0.56805555555555554</v>
      </c>
      <c r="S23" s="87">
        <f t="shared" si="6"/>
        <v>0.33999999999999997</v>
      </c>
      <c r="T23" s="87">
        <f t="shared" si="7"/>
        <v>0.15</v>
      </c>
      <c r="U23" s="89">
        <f t="shared" si="8"/>
        <v>0.18999999999999997</v>
      </c>
      <c r="V23" s="89">
        <f t="shared" si="9"/>
        <v>0.66</v>
      </c>
    </row>
    <row r="24" spans="1:22" x14ac:dyDescent="0.25">
      <c r="A24" s="9" t="s">
        <v>439</v>
      </c>
      <c r="B24" s="63">
        <v>19</v>
      </c>
      <c r="C24" s="63">
        <v>0.96099999999999997</v>
      </c>
      <c r="D24" s="63">
        <v>3.0059999999999998</v>
      </c>
      <c r="E24" s="63">
        <v>3.9119999999999999</v>
      </c>
      <c r="F24" s="63">
        <f t="shared" si="0"/>
        <v>2.9510000000000001</v>
      </c>
      <c r="G24" s="76">
        <f t="shared" si="1"/>
        <v>1.863774991528286</v>
      </c>
      <c r="H24" s="63">
        <v>40.020000000000003</v>
      </c>
      <c r="I24" s="81">
        <v>45981</v>
      </c>
      <c r="J24" s="63">
        <v>20.5</v>
      </c>
      <c r="K24" s="63">
        <v>1</v>
      </c>
      <c r="L24" s="63">
        <f t="shared" si="2"/>
        <v>5.9020000000000003E-2</v>
      </c>
      <c r="M24" s="63">
        <f t="shared" si="3"/>
        <v>1.15089</v>
      </c>
      <c r="N24" s="79">
        <v>0.4861111111111111</v>
      </c>
      <c r="O24" s="63">
        <v>11</v>
      </c>
      <c r="P24" s="63">
        <v>1.5</v>
      </c>
      <c r="Q24" s="63">
        <f t="shared" si="4"/>
        <v>0.56069000000000002</v>
      </c>
      <c r="R24" s="79">
        <f t="shared" si="5"/>
        <v>0.56944444444444442</v>
      </c>
      <c r="S24" s="87">
        <f t="shared" si="6"/>
        <v>0.38999999999999996</v>
      </c>
      <c r="T24" s="87">
        <f t="shared" si="7"/>
        <v>0.19</v>
      </c>
      <c r="U24" s="89">
        <f t="shared" si="8"/>
        <v>0.19999999999999996</v>
      </c>
      <c r="V24" s="89">
        <f t="shared" si="9"/>
        <v>0.6100000000000001</v>
      </c>
    </row>
    <row r="25" spans="1:22" x14ac:dyDescent="0.25">
      <c r="A25" s="9" t="s">
        <v>440</v>
      </c>
      <c r="B25" s="63">
        <v>20</v>
      </c>
      <c r="C25" s="63">
        <v>1.2969999999999999</v>
      </c>
      <c r="D25" s="63">
        <v>3.0139999999999998</v>
      </c>
      <c r="E25" s="63">
        <v>4.2469999999999999</v>
      </c>
      <c r="F25" s="63">
        <f t="shared" si="0"/>
        <v>2.95</v>
      </c>
      <c r="G25" s="76">
        <f t="shared" si="1"/>
        <v>2.1694915254237155</v>
      </c>
      <c r="H25" s="63">
        <v>40.04</v>
      </c>
      <c r="I25" s="81">
        <v>45981</v>
      </c>
      <c r="J25" s="63">
        <v>22.5</v>
      </c>
      <c r="K25" s="63">
        <v>1</v>
      </c>
      <c r="L25" s="63">
        <f t="shared" si="2"/>
        <v>5.9000000000000004E-2</v>
      </c>
      <c r="M25" s="63">
        <f t="shared" si="3"/>
        <v>1.2685000000000002</v>
      </c>
      <c r="N25" s="79">
        <v>0.48749999999999999</v>
      </c>
      <c r="O25" s="63">
        <v>10.5</v>
      </c>
      <c r="P25" s="63">
        <v>1.5</v>
      </c>
      <c r="Q25" s="63">
        <f t="shared" si="4"/>
        <v>0.53100000000000003</v>
      </c>
      <c r="R25" s="79">
        <f t="shared" si="5"/>
        <v>0.5708333333333333</v>
      </c>
      <c r="S25" s="87">
        <f t="shared" si="6"/>
        <v>0.43000000000000005</v>
      </c>
      <c r="T25" s="87">
        <f t="shared" si="7"/>
        <v>0.18</v>
      </c>
      <c r="U25" s="89">
        <f t="shared" si="8"/>
        <v>0.25000000000000006</v>
      </c>
      <c r="V25" s="89">
        <f t="shared" si="9"/>
        <v>0.56999999999999995</v>
      </c>
    </row>
    <row r="26" spans="1:22" x14ac:dyDescent="0.25">
      <c r="A26" s="9" t="s">
        <v>442</v>
      </c>
      <c r="B26" s="63">
        <v>21</v>
      </c>
      <c r="C26" s="63">
        <v>0.98899999999999999</v>
      </c>
      <c r="D26" s="63">
        <v>3.032</v>
      </c>
      <c r="E26" s="63">
        <v>2.9889999999999999</v>
      </c>
      <c r="F26" s="63">
        <f t="shared" si="0"/>
        <v>2</v>
      </c>
      <c r="G26" s="76">
        <f t="shared" si="1"/>
        <v>51.6</v>
      </c>
      <c r="H26" s="63">
        <v>32.5</v>
      </c>
      <c r="I26" s="81">
        <v>45981</v>
      </c>
      <c r="J26" s="63">
        <v>18.5</v>
      </c>
      <c r="K26" s="63">
        <v>1</v>
      </c>
      <c r="L26" s="63">
        <f t="shared" si="2"/>
        <v>0.04</v>
      </c>
      <c r="M26" s="63">
        <f t="shared" si="3"/>
        <v>0.70000000000000007</v>
      </c>
      <c r="N26" s="79">
        <v>0.48888888888888887</v>
      </c>
      <c r="O26" s="63">
        <v>9</v>
      </c>
      <c r="P26" s="63">
        <v>1.5</v>
      </c>
      <c r="Q26" s="63">
        <f t="shared" si="4"/>
        <v>0.3</v>
      </c>
      <c r="R26" s="79">
        <f t="shared" si="5"/>
        <v>0.57222222222222219</v>
      </c>
      <c r="S26" s="87">
        <f t="shared" si="6"/>
        <v>0.35000000000000003</v>
      </c>
      <c r="T26" s="87">
        <f t="shared" si="7"/>
        <v>0.15</v>
      </c>
      <c r="U26" s="89">
        <f t="shared" si="8"/>
        <v>0.20000000000000004</v>
      </c>
      <c r="V26" s="89">
        <f t="shared" si="9"/>
        <v>0.64999999999999991</v>
      </c>
    </row>
    <row r="27" spans="1:22" x14ac:dyDescent="0.25">
      <c r="A27" s="9" t="s">
        <v>443</v>
      </c>
      <c r="B27" s="63">
        <v>22</v>
      </c>
      <c r="C27" s="63">
        <v>1.004</v>
      </c>
      <c r="D27" s="63">
        <v>3.008</v>
      </c>
      <c r="E27" s="63">
        <v>3.95</v>
      </c>
      <c r="F27" s="63">
        <f t="shared" si="0"/>
        <v>2.9460000000000002</v>
      </c>
      <c r="G27" s="76">
        <f t="shared" si="1"/>
        <v>2.1045485403937483</v>
      </c>
      <c r="H27" s="63">
        <v>30.4</v>
      </c>
      <c r="I27" s="81">
        <v>45981</v>
      </c>
      <c r="J27" s="63">
        <v>17</v>
      </c>
      <c r="K27" s="63">
        <v>1</v>
      </c>
      <c r="L27" s="63">
        <f t="shared" si="2"/>
        <v>5.892E-2</v>
      </c>
      <c r="M27" s="63">
        <f t="shared" si="3"/>
        <v>0.94272</v>
      </c>
      <c r="N27" s="79">
        <v>0.49027777777777776</v>
      </c>
      <c r="O27" s="63">
        <v>8.5</v>
      </c>
      <c r="P27" s="63">
        <v>1.5</v>
      </c>
      <c r="Q27" s="63">
        <f t="shared" si="4"/>
        <v>0.41244000000000003</v>
      </c>
      <c r="R27" s="79">
        <f t="shared" si="5"/>
        <v>0.57361111111111107</v>
      </c>
      <c r="S27" s="87">
        <f t="shared" si="6"/>
        <v>0.32</v>
      </c>
      <c r="T27" s="87">
        <f t="shared" si="7"/>
        <v>0.14000000000000001</v>
      </c>
      <c r="U27" s="89">
        <f t="shared" si="8"/>
        <v>0.18</v>
      </c>
      <c r="V27" s="89">
        <f t="shared" si="9"/>
        <v>0.67999999999999994</v>
      </c>
    </row>
    <row r="28" spans="1:22" x14ac:dyDescent="0.25">
      <c r="A28" s="9" t="s">
        <v>450</v>
      </c>
      <c r="B28" s="63">
        <v>24</v>
      </c>
      <c r="C28" s="63">
        <v>0.99399999999999999</v>
      </c>
      <c r="D28" s="63">
        <v>3.0459999999999998</v>
      </c>
      <c r="E28" s="63">
        <v>3.9830000000000001</v>
      </c>
      <c r="F28" s="63">
        <f t="shared" si="0"/>
        <v>2.9889999999999999</v>
      </c>
      <c r="G28" s="76">
        <f t="shared" si="1"/>
        <v>1.9069923051187667</v>
      </c>
      <c r="H28" s="63">
        <v>40.049999999999997</v>
      </c>
      <c r="I28" s="81">
        <v>45980</v>
      </c>
      <c r="J28" s="63">
        <v>14</v>
      </c>
      <c r="K28" s="63">
        <v>1</v>
      </c>
      <c r="L28" s="63">
        <f t="shared" si="2"/>
        <v>5.978E-2</v>
      </c>
      <c r="M28" s="63">
        <f t="shared" si="3"/>
        <v>0.77713999999999994</v>
      </c>
      <c r="N28" s="79">
        <v>8.5416666666666669E-2</v>
      </c>
      <c r="O28" s="63">
        <v>6</v>
      </c>
      <c r="P28" s="63">
        <v>1</v>
      </c>
      <c r="Q28" s="63">
        <f t="shared" si="4"/>
        <v>0.2989</v>
      </c>
      <c r="R28" s="79">
        <f t="shared" si="5"/>
        <v>0.16875000000000001</v>
      </c>
      <c r="S28" s="87">
        <f t="shared" si="6"/>
        <v>0.26</v>
      </c>
      <c r="T28" s="87">
        <f t="shared" si="7"/>
        <v>0.1</v>
      </c>
      <c r="U28" s="89">
        <f t="shared" si="8"/>
        <v>0.16</v>
      </c>
      <c r="V28" s="89">
        <f t="shared" si="9"/>
        <v>0.74</v>
      </c>
    </row>
    <row r="29" spans="1:22" x14ac:dyDescent="0.25">
      <c r="A29" s="9" t="s">
        <v>472</v>
      </c>
      <c r="B29" s="63">
        <v>2</v>
      </c>
      <c r="C29" s="63">
        <v>1.4430000000000001</v>
      </c>
      <c r="D29" s="63">
        <v>3.0190000000000001</v>
      </c>
      <c r="E29" s="63">
        <v>4.4029999999999996</v>
      </c>
      <c r="F29" s="63">
        <f t="shared" si="0"/>
        <v>2.9599999999999995</v>
      </c>
      <c r="G29" s="76">
        <f t="shared" si="1"/>
        <v>1.9932432432432641</v>
      </c>
      <c r="H29" s="63">
        <v>40.08</v>
      </c>
      <c r="I29" s="81">
        <v>45975</v>
      </c>
      <c r="J29" s="63">
        <v>13.5</v>
      </c>
      <c r="K29" s="63">
        <v>1.5</v>
      </c>
      <c r="L29" s="63">
        <f t="shared" si="2"/>
        <v>5.9199999999999989E-2</v>
      </c>
      <c r="M29" s="63">
        <f t="shared" si="3"/>
        <v>0.71039999999999992</v>
      </c>
      <c r="N29" s="79">
        <v>0.44374999999999998</v>
      </c>
      <c r="O29" s="63">
        <v>7.5</v>
      </c>
      <c r="P29" s="63">
        <v>1.5</v>
      </c>
      <c r="Q29" s="63">
        <f t="shared" si="4"/>
        <v>0.35519999999999996</v>
      </c>
      <c r="R29" s="79">
        <f t="shared" si="5"/>
        <v>0.52708333333333335</v>
      </c>
      <c r="S29" s="87">
        <f t="shared" si="6"/>
        <v>0.24000000000000002</v>
      </c>
      <c r="T29" s="87">
        <f t="shared" si="7"/>
        <v>0.12000000000000001</v>
      </c>
      <c r="U29" s="89">
        <f t="shared" si="8"/>
        <v>0.12000000000000001</v>
      </c>
      <c r="V29" s="89">
        <f t="shared" si="9"/>
        <v>0.76</v>
      </c>
    </row>
    <row r="30" spans="1:22" x14ac:dyDescent="0.25">
      <c r="A30" s="9" t="s">
        <v>433</v>
      </c>
      <c r="B30" s="63">
        <v>3</v>
      </c>
      <c r="C30" s="63">
        <v>1.0089999999999999</v>
      </c>
      <c r="D30" s="63">
        <v>3.0169999999999999</v>
      </c>
      <c r="E30" s="63">
        <v>3.9380000000000002</v>
      </c>
      <c r="F30" s="63">
        <f t="shared" si="0"/>
        <v>2.9290000000000003</v>
      </c>
      <c r="G30" s="76">
        <f t="shared" si="1"/>
        <v>3.0044383748719574</v>
      </c>
      <c r="H30" s="63">
        <v>40.06</v>
      </c>
      <c r="I30" s="81">
        <v>45975</v>
      </c>
      <c r="J30" s="63">
        <v>13.5</v>
      </c>
      <c r="K30" s="63">
        <v>1.5</v>
      </c>
      <c r="L30" s="63">
        <f t="shared" si="2"/>
        <v>5.8580000000000007E-2</v>
      </c>
      <c r="M30" s="63">
        <f t="shared" si="3"/>
        <v>0.70296000000000003</v>
      </c>
      <c r="N30" s="79">
        <v>0.44513888888888886</v>
      </c>
      <c r="O30" s="63">
        <v>5.5</v>
      </c>
      <c r="P30" s="63">
        <v>1.5</v>
      </c>
      <c r="Q30" s="63">
        <f t="shared" si="4"/>
        <v>0.23432000000000003</v>
      </c>
      <c r="R30" s="79">
        <f t="shared" si="5"/>
        <v>0.52847222222222223</v>
      </c>
      <c r="S30" s="87">
        <f t="shared" si="6"/>
        <v>0.24</v>
      </c>
      <c r="T30" s="87">
        <f t="shared" si="7"/>
        <v>0.08</v>
      </c>
      <c r="U30" s="89">
        <f t="shared" si="8"/>
        <v>0.15999999999999998</v>
      </c>
      <c r="V30" s="89">
        <f t="shared" si="9"/>
        <v>0.76</v>
      </c>
    </row>
    <row r="31" spans="1:22" x14ac:dyDescent="0.25">
      <c r="A31" s="9" t="s">
        <v>423</v>
      </c>
      <c r="B31" s="63">
        <v>4</v>
      </c>
      <c r="C31" s="63">
        <v>0.95499999999999996</v>
      </c>
      <c r="D31" s="63">
        <v>3.03</v>
      </c>
      <c r="E31" s="63">
        <v>3.927</v>
      </c>
      <c r="F31" s="63">
        <f t="shared" si="0"/>
        <v>2.972</v>
      </c>
      <c r="G31" s="76">
        <f t="shared" si="1"/>
        <v>1.951547779273211</v>
      </c>
      <c r="H31" s="63">
        <v>40.07</v>
      </c>
      <c r="I31" s="81">
        <v>45975</v>
      </c>
      <c r="J31" s="63">
        <v>14</v>
      </c>
      <c r="K31" s="63">
        <v>1.5</v>
      </c>
      <c r="L31" s="63">
        <f t="shared" si="2"/>
        <v>5.944E-2</v>
      </c>
      <c r="M31" s="63">
        <f t="shared" si="3"/>
        <v>0.74299999999999999</v>
      </c>
      <c r="N31" s="79">
        <v>0.44722222222222224</v>
      </c>
      <c r="O31" s="63">
        <v>7</v>
      </c>
      <c r="P31" s="63">
        <v>1.5</v>
      </c>
      <c r="Q31" s="63">
        <f t="shared" si="4"/>
        <v>0.32691999999999999</v>
      </c>
      <c r="R31" s="79">
        <f t="shared" si="5"/>
        <v>0.53055555555555556</v>
      </c>
      <c r="S31" s="87">
        <f t="shared" si="6"/>
        <v>0.25</v>
      </c>
      <c r="T31" s="87">
        <f t="shared" si="7"/>
        <v>0.11</v>
      </c>
      <c r="U31" s="89">
        <f t="shared" si="8"/>
        <v>0.14000000000000001</v>
      </c>
      <c r="V31" s="89">
        <f t="shared" si="9"/>
        <v>0.75</v>
      </c>
    </row>
    <row r="32" spans="1:22" x14ac:dyDescent="0.25">
      <c r="A32" s="9" t="s">
        <v>424</v>
      </c>
      <c r="B32" s="63">
        <v>5</v>
      </c>
      <c r="C32" s="63">
        <v>0.95799999999999996</v>
      </c>
      <c r="D32" s="63">
        <v>3.05</v>
      </c>
      <c r="E32" s="63">
        <v>3.95</v>
      </c>
      <c r="F32" s="63">
        <f t="shared" si="0"/>
        <v>2.992</v>
      </c>
      <c r="G32" s="76">
        <f t="shared" si="1"/>
        <v>1.9385026737967856</v>
      </c>
      <c r="H32" s="63">
        <v>40.049999999999997</v>
      </c>
      <c r="I32" s="81">
        <v>45975</v>
      </c>
      <c r="J32" s="63">
        <v>14</v>
      </c>
      <c r="K32" s="63">
        <v>1.5</v>
      </c>
      <c r="L32" s="63">
        <f t="shared" si="2"/>
        <v>5.9839999999999997E-2</v>
      </c>
      <c r="M32" s="63">
        <f t="shared" si="3"/>
        <v>0.748</v>
      </c>
      <c r="N32" s="79">
        <v>0.44791666666666669</v>
      </c>
      <c r="O32" s="63">
        <v>7</v>
      </c>
      <c r="P32" s="63">
        <v>1.5</v>
      </c>
      <c r="Q32" s="63">
        <f t="shared" si="4"/>
        <v>0.32911999999999997</v>
      </c>
      <c r="R32" s="79">
        <f t="shared" si="5"/>
        <v>0.53125</v>
      </c>
      <c r="S32" s="87">
        <f t="shared" si="6"/>
        <v>0.25</v>
      </c>
      <c r="T32" s="87">
        <f t="shared" si="7"/>
        <v>0.10999999999999999</v>
      </c>
      <c r="U32" s="89">
        <f t="shared" si="8"/>
        <v>0.14000000000000001</v>
      </c>
      <c r="V32" s="89">
        <f t="shared" si="9"/>
        <v>0.75</v>
      </c>
    </row>
    <row r="33" spans="1:22" x14ac:dyDescent="0.25">
      <c r="A33" s="9" t="s">
        <v>426</v>
      </c>
      <c r="B33" s="63">
        <v>6</v>
      </c>
      <c r="C33" s="63">
        <v>0.96799999999999997</v>
      </c>
      <c r="D33" s="63">
        <v>3.01</v>
      </c>
      <c r="E33" s="63">
        <v>3.9220000000000002</v>
      </c>
      <c r="F33" s="63">
        <f t="shared" si="0"/>
        <v>2.9540000000000002</v>
      </c>
      <c r="G33" s="76">
        <f t="shared" si="1"/>
        <v>1.8957345971563848</v>
      </c>
      <c r="H33" s="63">
        <v>40.08</v>
      </c>
      <c r="I33" s="81">
        <v>45975</v>
      </c>
      <c r="J33" s="63">
        <v>12.5</v>
      </c>
      <c r="K33" s="63">
        <v>1.5</v>
      </c>
      <c r="L33" s="63">
        <f t="shared" si="2"/>
        <v>5.9080000000000001E-2</v>
      </c>
      <c r="M33" s="63">
        <f t="shared" si="3"/>
        <v>0.64988000000000001</v>
      </c>
      <c r="N33" s="79">
        <v>0.44930555555555557</v>
      </c>
      <c r="O33" s="63">
        <v>7</v>
      </c>
      <c r="P33" s="63">
        <v>1.5</v>
      </c>
      <c r="Q33" s="63">
        <f t="shared" si="4"/>
        <v>0.32494000000000001</v>
      </c>
      <c r="R33" s="79">
        <f t="shared" si="5"/>
        <v>0.53263888888888888</v>
      </c>
      <c r="S33" s="87">
        <f t="shared" si="6"/>
        <v>0.22</v>
      </c>
      <c r="T33" s="87">
        <f t="shared" si="7"/>
        <v>0.11</v>
      </c>
      <c r="U33" s="89">
        <f t="shared" si="8"/>
        <v>0.11</v>
      </c>
      <c r="V33" s="89">
        <f t="shared" si="9"/>
        <v>0.78</v>
      </c>
    </row>
    <row r="34" spans="1:22" x14ac:dyDescent="0.25">
      <c r="A34" s="9" t="s">
        <v>461</v>
      </c>
      <c r="B34" s="63">
        <v>7</v>
      </c>
      <c r="C34" s="63">
        <v>1.323</v>
      </c>
      <c r="D34" s="63">
        <v>3.0209999999999999</v>
      </c>
      <c r="E34" s="63">
        <v>4.3170000000000002</v>
      </c>
      <c r="F34" s="63">
        <f t="shared" ref="F34:F65" si="10">E34-C34</f>
        <v>2.9940000000000002</v>
      </c>
      <c r="G34" s="76">
        <f t="shared" ref="G34:G65" si="11">((D34-(E34-C34))/(E34-C34))*100</f>
        <v>0.90180360721441843</v>
      </c>
      <c r="H34" s="63">
        <v>40.090000000000003</v>
      </c>
      <c r="I34" s="81">
        <v>45973</v>
      </c>
      <c r="J34" s="63">
        <v>11</v>
      </c>
      <c r="K34" s="63">
        <v>1.5</v>
      </c>
      <c r="L34" s="63">
        <f t="shared" ref="L34:L65" si="12">F34/50</f>
        <v>5.9880000000000003E-2</v>
      </c>
      <c r="M34" s="63">
        <f t="shared" ref="M34:M65" si="13">(J34-K34)*L34</f>
        <v>0.56886000000000003</v>
      </c>
      <c r="N34" s="79">
        <v>0.44930555555555557</v>
      </c>
      <c r="O34" s="63">
        <v>6.5</v>
      </c>
      <c r="P34" s="63">
        <v>1.5</v>
      </c>
      <c r="Q34" s="63">
        <f t="shared" ref="Q34:Q65" si="14">(O34-P34)*L34</f>
        <v>0.2994</v>
      </c>
      <c r="R34" s="79">
        <f t="shared" ref="R34:R65" si="15">N34+(TIME(2,0,0))</f>
        <v>0.53263888888888888</v>
      </c>
      <c r="S34" s="87">
        <f t="shared" ref="S34:S65" si="16">M34/F34</f>
        <v>0.19</v>
      </c>
      <c r="T34" s="87">
        <f t="shared" ref="T34:T65" si="17">Q34/F34</f>
        <v>9.9999999999999992E-2</v>
      </c>
      <c r="U34" s="89">
        <f t="shared" ref="U34:U65" si="18">S34-T34</f>
        <v>9.0000000000000011E-2</v>
      </c>
      <c r="V34" s="89">
        <f t="shared" ref="V34:V65" si="19">1-S34</f>
        <v>0.81</v>
      </c>
    </row>
    <row r="35" spans="1:22" x14ac:dyDescent="0.25">
      <c r="A35" s="9" t="s">
        <v>451</v>
      </c>
      <c r="B35" s="63">
        <v>25</v>
      </c>
      <c r="C35" s="63">
        <v>1.0129999999999999</v>
      </c>
      <c r="D35" s="63">
        <v>3.0030000000000001</v>
      </c>
      <c r="E35" s="63">
        <v>3.9609999999999999</v>
      </c>
      <c r="F35" s="63">
        <f t="shared" si="10"/>
        <v>2.948</v>
      </c>
      <c r="G35" s="76">
        <f t="shared" si="11"/>
        <v>1.8656716417910502</v>
      </c>
      <c r="H35" s="63">
        <v>40.01</v>
      </c>
      <c r="I35" s="81">
        <v>45980</v>
      </c>
      <c r="J35" s="63">
        <v>14.5</v>
      </c>
      <c r="K35" s="63">
        <v>1</v>
      </c>
      <c r="L35" s="63">
        <f t="shared" si="12"/>
        <v>5.8959999999999999E-2</v>
      </c>
      <c r="M35" s="63">
        <f t="shared" si="13"/>
        <v>0.79596</v>
      </c>
      <c r="N35" s="79">
        <v>8.6805555555555552E-2</v>
      </c>
      <c r="O35" s="63">
        <v>6.5</v>
      </c>
      <c r="P35" s="63">
        <v>1</v>
      </c>
      <c r="Q35" s="63">
        <f t="shared" si="14"/>
        <v>0.32428000000000001</v>
      </c>
      <c r="R35" s="79">
        <f t="shared" si="15"/>
        <v>0.1701388888888889</v>
      </c>
      <c r="S35" s="87">
        <f t="shared" si="16"/>
        <v>0.27</v>
      </c>
      <c r="T35" s="87">
        <f t="shared" si="17"/>
        <v>0.11</v>
      </c>
      <c r="U35" s="89">
        <f t="shared" si="18"/>
        <v>0.16000000000000003</v>
      </c>
      <c r="V35" s="89">
        <f t="shared" si="19"/>
        <v>0.73</v>
      </c>
    </row>
    <row r="36" spans="1:22" x14ac:dyDescent="0.25">
      <c r="A36" s="9" t="s">
        <v>452</v>
      </c>
      <c r="B36" s="63">
        <v>26</v>
      </c>
      <c r="C36" s="63">
        <v>1.01</v>
      </c>
      <c r="D36" s="63">
        <v>3.0430000000000001</v>
      </c>
      <c r="E36" s="63">
        <v>3.944</v>
      </c>
      <c r="F36" s="63">
        <f t="shared" si="10"/>
        <v>2.9340000000000002</v>
      </c>
      <c r="G36" s="76">
        <f t="shared" si="11"/>
        <v>3.7150647580095426</v>
      </c>
      <c r="H36" s="63">
        <v>40.090000000000003</v>
      </c>
      <c r="I36" s="81">
        <v>45980</v>
      </c>
      <c r="J36" s="63">
        <v>15.5</v>
      </c>
      <c r="K36" s="63">
        <v>1</v>
      </c>
      <c r="L36" s="63">
        <f t="shared" si="12"/>
        <v>5.8680000000000003E-2</v>
      </c>
      <c r="M36" s="63">
        <f t="shared" si="13"/>
        <v>0.85086000000000006</v>
      </c>
      <c r="N36" s="79">
        <v>8.819444444444445E-2</v>
      </c>
      <c r="O36" s="63">
        <v>7</v>
      </c>
      <c r="P36" s="63">
        <v>1</v>
      </c>
      <c r="Q36" s="63">
        <f t="shared" si="14"/>
        <v>0.35208</v>
      </c>
      <c r="R36" s="79">
        <f t="shared" si="15"/>
        <v>0.17152777777777778</v>
      </c>
      <c r="S36" s="87">
        <f t="shared" si="16"/>
        <v>0.28999999999999998</v>
      </c>
      <c r="T36" s="87">
        <f t="shared" si="17"/>
        <v>0.12</v>
      </c>
      <c r="U36" s="89">
        <f t="shared" si="18"/>
        <v>0.16999999999999998</v>
      </c>
      <c r="V36" s="89">
        <f t="shared" si="19"/>
        <v>0.71</v>
      </c>
    </row>
    <row r="37" spans="1:22" x14ac:dyDescent="0.25">
      <c r="A37" s="9" t="s">
        <v>465</v>
      </c>
      <c r="B37" s="63">
        <v>8</v>
      </c>
      <c r="C37" s="63">
        <v>0.98099999999999998</v>
      </c>
      <c r="D37" s="63">
        <v>3.0009999999999999</v>
      </c>
      <c r="E37" s="63">
        <v>3.9489999999999998</v>
      </c>
      <c r="F37" s="63">
        <f t="shared" si="10"/>
        <v>2.968</v>
      </c>
      <c r="G37" s="76">
        <f t="shared" si="11"/>
        <v>1.1118598382749298</v>
      </c>
      <c r="H37" s="63">
        <v>39.99</v>
      </c>
      <c r="I37" s="81">
        <v>45973</v>
      </c>
      <c r="J37" s="63">
        <v>16.5</v>
      </c>
      <c r="K37" s="63">
        <v>1.5</v>
      </c>
      <c r="L37" s="63">
        <f t="shared" si="12"/>
        <v>5.9359999999999996E-2</v>
      </c>
      <c r="M37" s="63">
        <f t="shared" si="13"/>
        <v>0.89039999999999997</v>
      </c>
      <c r="N37" s="79">
        <v>0.45069444444444445</v>
      </c>
      <c r="O37" s="63">
        <v>9</v>
      </c>
      <c r="P37" s="63">
        <v>1.5</v>
      </c>
      <c r="Q37" s="63">
        <f t="shared" si="14"/>
        <v>0.44519999999999998</v>
      </c>
      <c r="R37" s="79">
        <f t="shared" si="15"/>
        <v>0.53402777777777777</v>
      </c>
      <c r="S37" s="87">
        <f t="shared" si="16"/>
        <v>0.3</v>
      </c>
      <c r="T37" s="87">
        <f t="shared" si="17"/>
        <v>0.15</v>
      </c>
      <c r="U37" s="89">
        <f t="shared" si="18"/>
        <v>0.15</v>
      </c>
      <c r="V37" s="89">
        <f t="shared" si="19"/>
        <v>0.7</v>
      </c>
    </row>
    <row r="38" spans="1:22" x14ac:dyDescent="0.25">
      <c r="A38" s="9" t="s">
        <v>466</v>
      </c>
      <c r="B38" s="63">
        <v>9</v>
      </c>
      <c r="C38" s="63">
        <v>1.29</v>
      </c>
      <c r="D38" s="63">
        <v>3.0670000000000002</v>
      </c>
      <c r="E38" s="63">
        <v>4.3239999999999998</v>
      </c>
      <c r="F38" s="63">
        <f t="shared" si="10"/>
        <v>3.0339999999999998</v>
      </c>
      <c r="G38" s="76">
        <f t="shared" si="11"/>
        <v>1.0876730388925631</v>
      </c>
      <c r="H38" s="63">
        <v>40.03</v>
      </c>
      <c r="I38" s="81">
        <v>45973</v>
      </c>
      <c r="J38" s="63">
        <v>14</v>
      </c>
      <c r="K38" s="63">
        <v>1.5</v>
      </c>
      <c r="L38" s="63">
        <f t="shared" si="12"/>
        <v>6.0679999999999998E-2</v>
      </c>
      <c r="M38" s="63">
        <f t="shared" si="13"/>
        <v>0.75849999999999995</v>
      </c>
      <c r="N38" s="79">
        <v>0.45208333333333334</v>
      </c>
      <c r="O38" s="63">
        <v>8</v>
      </c>
      <c r="P38" s="63">
        <v>1.5</v>
      </c>
      <c r="Q38" s="63">
        <f t="shared" si="14"/>
        <v>0.39441999999999999</v>
      </c>
      <c r="R38" s="79">
        <f t="shared" si="15"/>
        <v>0.53541666666666665</v>
      </c>
      <c r="S38" s="87">
        <f t="shared" si="16"/>
        <v>0.25</v>
      </c>
      <c r="T38" s="87">
        <f t="shared" si="17"/>
        <v>0.13</v>
      </c>
      <c r="U38" s="89">
        <f t="shared" si="18"/>
        <v>0.12</v>
      </c>
      <c r="V38" s="89">
        <f t="shared" si="19"/>
        <v>0.75</v>
      </c>
    </row>
    <row r="39" spans="1:22" x14ac:dyDescent="0.25">
      <c r="A39" s="9" t="s">
        <v>425</v>
      </c>
      <c r="B39" s="63">
        <v>8</v>
      </c>
      <c r="C39" s="63">
        <v>0.98299999999999998</v>
      </c>
      <c r="D39" s="63">
        <v>2.9990000000000001</v>
      </c>
      <c r="E39" s="63">
        <v>3.9319999999999999</v>
      </c>
      <c r="F39" s="63">
        <f t="shared" si="10"/>
        <v>2.9489999999999998</v>
      </c>
      <c r="G39" s="76">
        <f t="shared" si="11"/>
        <v>1.6954899966090291</v>
      </c>
      <c r="H39" s="63">
        <v>40.03</v>
      </c>
      <c r="I39" s="81">
        <v>45980</v>
      </c>
      <c r="J39" s="63">
        <v>13</v>
      </c>
      <c r="K39" s="63">
        <v>1</v>
      </c>
      <c r="L39" s="63">
        <f t="shared" si="12"/>
        <v>5.8979999999999998E-2</v>
      </c>
      <c r="M39" s="63">
        <f t="shared" si="13"/>
        <v>0.70775999999999994</v>
      </c>
      <c r="N39" s="79">
        <v>7.2916666666666671E-2</v>
      </c>
      <c r="O39" s="63">
        <v>6.5</v>
      </c>
      <c r="P39" s="63">
        <v>1</v>
      </c>
      <c r="Q39" s="63">
        <f t="shared" si="14"/>
        <v>0.32439000000000001</v>
      </c>
      <c r="R39" s="79">
        <f t="shared" si="15"/>
        <v>0.15625</v>
      </c>
      <c r="S39" s="87">
        <f t="shared" si="16"/>
        <v>0.24</v>
      </c>
      <c r="T39" s="87">
        <f t="shared" si="17"/>
        <v>0.11000000000000001</v>
      </c>
      <c r="U39" s="89">
        <f t="shared" si="18"/>
        <v>0.12999999999999998</v>
      </c>
      <c r="V39" s="89">
        <f t="shared" si="19"/>
        <v>0.76</v>
      </c>
    </row>
    <row r="40" spans="1:22" x14ac:dyDescent="0.25">
      <c r="A40" s="9" t="s">
        <v>427</v>
      </c>
      <c r="B40" s="63">
        <v>9</v>
      </c>
      <c r="C40" s="63">
        <v>1.2929999999999999</v>
      </c>
      <c r="D40" s="63">
        <v>3.0030000000000001</v>
      </c>
      <c r="E40" s="63">
        <v>4.242</v>
      </c>
      <c r="F40" s="63">
        <f t="shared" si="10"/>
        <v>2.9489999999999998</v>
      </c>
      <c r="G40" s="76">
        <f t="shared" si="11"/>
        <v>1.831129196337751</v>
      </c>
      <c r="H40" s="63">
        <v>39.979999999999997</v>
      </c>
      <c r="I40" s="81">
        <v>45980</v>
      </c>
      <c r="J40" s="63">
        <v>13</v>
      </c>
      <c r="K40" s="63">
        <v>1</v>
      </c>
      <c r="L40" s="63">
        <f t="shared" si="12"/>
        <v>5.8979999999999998E-2</v>
      </c>
      <c r="M40" s="63">
        <f t="shared" si="13"/>
        <v>0.70775999999999994</v>
      </c>
      <c r="N40" s="79">
        <v>7.4305555555555555E-2</v>
      </c>
      <c r="O40" s="63">
        <v>6.5</v>
      </c>
      <c r="P40" s="63">
        <v>1</v>
      </c>
      <c r="Q40" s="63">
        <f t="shared" si="14"/>
        <v>0.32439000000000001</v>
      </c>
      <c r="R40" s="79">
        <f t="shared" si="15"/>
        <v>0.15763888888888888</v>
      </c>
      <c r="S40" s="87">
        <f t="shared" si="16"/>
        <v>0.24</v>
      </c>
      <c r="T40" s="87">
        <f t="shared" si="17"/>
        <v>0.11000000000000001</v>
      </c>
      <c r="U40" s="89">
        <f t="shared" si="18"/>
        <v>0.12999999999999998</v>
      </c>
      <c r="V40" s="89">
        <f t="shared" si="19"/>
        <v>0.76</v>
      </c>
    </row>
    <row r="41" spans="1:22" x14ac:dyDescent="0.25">
      <c r="A41" s="9" t="s">
        <v>467</v>
      </c>
      <c r="B41" s="63">
        <v>10</v>
      </c>
      <c r="C41" s="63">
        <v>0.95199999999999996</v>
      </c>
      <c r="D41" s="63">
        <v>3.044</v>
      </c>
      <c r="E41" s="63">
        <v>3.9580000000000002</v>
      </c>
      <c r="F41" s="63">
        <f t="shared" si="10"/>
        <v>3.0060000000000002</v>
      </c>
      <c r="G41" s="76">
        <f t="shared" si="11"/>
        <v>1.2641383898868865</v>
      </c>
      <c r="H41" s="63">
        <v>39.82</v>
      </c>
      <c r="I41" s="81">
        <v>45973</v>
      </c>
      <c r="J41" s="63">
        <v>16</v>
      </c>
      <c r="K41" s="63">
        <v>1.5</v>
      </c>
      <c r="L41" s="63">
        <f t="shared" si="12"/>
        <v>6.0120000000000007E-2</v>
      </c>
      <c r="M41" s="63">
        <f t="shared" si="13"/>
        <v>0.87174000000000007</v>
      </c>
      <c r="N41" s="79">
        <v>0.45347222222222222</v>
      </c>
      <c r="O41" s="63">
        <v>9.5</v>
      </c>
      <c r="P41" s="63">
        <v>1.5</v>
      </c>
      <c r="Q41" s="63">
        <f t="shared" si="14"/>
        <v>0.48096000000000005</v>
      </c>
      <c r="R41" s="79">
        <f t="shared" si="15"/>
        <v>0.53680555555555554</v>
      </c>
      <c r="S41" s="87">
        <f t="shared" si="16"/>
        <v>0.28999999999999998</v>
      </c>
      <c r="T41" s="87">
        <f t="shared" si="17"/>
        <v>0.16</v>
      </c>
      <c r="U41" s="89">
        <f t="shared" si="18"/>
        <v>0.12999999999999998</v>
      </c>
      <c r="V41" s="89">
        <f t="shared" si="19"/>
        <v>0.71</v>
      </c>
    </row>
    <row r="42" spans="1:22" x14ac:dyDescent="0.25">
      <c r="A42" s="9" t="s">
        <v>430</v>
      </c>
      <c r="B42" s="63">
        <v>10</v>
      </c>
      <c r="C42" s="63">
        <v>0.95499999999999996</v>
      </c>
      <c r="D42" s="63">
        <v>3.02</v>
      </c>
      <c r="E42" s="63">
        <v>3.9209999999999998</v>
      </c>
      <c r="F42" s="63">
        <f t="shared" si="10"/>
        <v>2.9659999999999997</v>
      </c>
      <c r="G42" s="76">
        <f t="shared" si="11"/>
        <v>1.820633850303448</v>
      </c>
      <c r="H42" s="63">
        <v>40.04</v>
      </c>
      <c r="I42" s="81">
        <v>45980</v>
      </c>
      <c r="J42" s="63">
        <v>13.5</v>
      </c>
      <c r="K42" s="63">
        <v>1</v>
      </c>
      <c r="L42" s="63">
        <f t="shared" si="12"/>
        <v>5.9319999999999998E-2</v>
      </c>
      <c r="M42" s="63">
        <f t="shared" si="13"/>
        <v>0.74149999999999994</v>
      </c>
      <c r="N42" s="79">
        <v>7.6388888888888895E-2</v>
      </c>
      <c r="O42" s="63">
        <v>6.5</v>
      </c>
      <c r="P42" s="63">
        <v>1</v>
      </c>
      <c r="Q42" s="63">
        <f t="shared" si="14"/>
        <v>0.32625999999999999</v>
      </c>
      <c r="R42" s="79">
        <f t="shared" si="15"/>
        <v>0.15972222222222221</v>
      </c>
      <c r="S42" s="87">
        <f t="shared" si="16"/>
        <v>0.25</v>
      </c>
      <c r="T42" s="87">
        <f t="shared" si="17"/>
        <v>0.11</v>
      </c>
      <c r="U42" s="89">
        <f t="shared" si="18"/>
        <v>0.14000000000000001</v>
      </c>
      <c r="V42" s="89">
        <f t="shared" si="19"/>
        <v>0.75</v>
      </c>
    </row>
    <row r="43" spans="1:22" x14ac:dyDescent="0.25">
      <c r="A43" s="9" t="s">
        <v>468</v>
      </c>
      <c r="B43" s="63">
        <v>11</v>
      </c>
      <c r="C43" s="63">
        <v>0.98299999999999998</v>
      </c>
      <c r="D43" s="63">
        <v>3.0169999999999999</v>
      </c>
      <c r="E43" s="63">
        <v>3.9510000000000001</v>
      </c>
      <c r="F43" s="63">
        <f t="shared" si="10"/>
        <v>2.968</v>
      </c>
      <c r="G43" s="76">
        <f t="shared" si="11"/>
        <v>1.6509433962264131</v>
      </c>
      <c r="H43" s="63">
        <v>40</v>
      </c>
      <c r="I43" s="81">
        <v>45973</v>
      </c>
      <c r="J43" s="63">
        <v>18</v>
      </c>
      <c r="K43" s="63">
        <v>1.5</v>
      </c>
      <c r="L43" s="63">
        <f t="shared" si="12"/>
        <v>5.9359999999999996E-2</v>
      </c>
      <c r="M43" s="63">
        <f t="shared" si="13"/>
        <v>0.97943999999999998</v>
      </c>
      <c r="N43" s="79">
        <v>0.45555555555555555</v>
      </c>
      <c r="O43" s="63">
        <v>9.5</v>
      </c>
      <c r="P43" s="63">
        <v>1.5</v>
      </c>
      <c r="Q43" s="63">
        <f t="shared" si="14"/>
        <v>0.47487999999999997</v>
      </c>
      <c r="R43" s="79">
        <f t="shared" si="15"/>
        <v>0.53888888888888886</v>
      </c>
      <c r="S43" s="87">
        <f t="shared" si="16"/>
        <v>0.33</v>
      </c>
      <c r="T43" s="87">
        <f t="shared" si="17"/>
        <v>0.16</v>
      </c>
      <c r="U43" s="89">
        <f t="shared" si="18"/>
        <v>0.17</v>
      </c>
      <c r="V43" s="89">
        <f t="shared" si="19"/>
        <v>0.66999999999999993</v>
      </c>
    </row>
    <row r="44" spans="1:22" x14ac:dyDescent="0.25">
      <c r="A44" s="9" t="s">
        <v>422</v>
      </c>
      <c r="B44" s="63">
        <v>17</v>
      </c>
      <c r="C44" s="63">
        <v>1.0049999999999999</v>
      </c>
      <c r="D44" s="63">
        <v>3.0179999999999998</v>
      </c>
      <c r="E44" s="63">
        <v>3.9620000000000002</v>
      </c>
      <c r="F44" s="63">
        <f t="shared" si="10"/>
        <v>2.9570000000000003</v>
      </c>
      <c r="G44" s="76">
        <f t="shared" si="11"/>
        <v>2.0629015894487486</v>
      </c>
      <c r="H44" s="63">
        <v>40.08</v>
      </c>
      <c r="I44" s="81">
        <v>45973</v>
      </c>
      <c r="J44" s="63">
        <v>14</v>
      </c>
      <c r="K44" s="63">
        <v>1.5</v>
      </c>
      <c r="L44" s="63">
        <f t="shared" si="12"/>
        <v>5.9140000000000005E-2</v>
      </c>
      <c r="M44" s="63">
        <f t="shared" si="13"/>
        <v>0.73925000000000007</v>
      </c>
      <c r="N44" s="79">
        <v>0.45624999999999999</v>
      </c>
      <c r="O44" s="63">
        <v>6.5</v>
      </c>
      <c r="P44" s="63">
        <v>1.5</v>
      </c>
      <c r="Q44" s="63">
        <f t="shared" si="14"/>
        <v>0.29570000000000002</v>
      </c>
      <c r="R44" s="79">
        <f t="shared" si="15"/>
        <v>0.5395833333333333</v>
      </c>
      <c r="S44" s="87">
        <f t="shared" si="16"/>
        <v>0.25</v>
      </c>
      <c r="T44" s="87">
        <f t="shared" si="17"/>
        <v>9.9999999999999992E-2</v>
      </c>
      <c r="U44" s="89">
        <f t="shared" si="18"/>
        <v>0.15000000000000002</v>
      </c>
      <c r="V44" s="89">
        <f t="shared" si="19"/>
        <v>0.75</v>
      </c>
    </row>
    <row r="45" spans="1:22" x14ac:dyDescent="0.25">
      <c r="A45" s="9" t="s">
        <v>412</v>
      </c>
      <c r="B45" s="63">
        <v>19</v>
      </c>
      <c r="C45" s="63">
        <v>0.96399999999999997</v>
      </c>
      <c r="D45" s="63">
        <v>3.01</v>
      </c>
      <c r="E45" s="63">
        <v>3.9129999999999998</v>
      </c>
      <c r="F45" s="63">
        <f t="shared" si="10"/>
        <v>2.9489999999999998</v>
      </c>
      <c r="G45" s="76">
        <f t="shared" si="11"/>
        <v>2.0684977958630024</v>
      </c>
      <c r="H45" s="63">
        <v>40.04</v>
      </c>
      <c r="I45" s="81">
        <v>45973</v>
      </c>
      <c r="J45" s="63">
        <v>17.5</v>
      </c>
      <c r="K45" s="63">
        <v>1.5</v>
      </c>
      <c r="L45" s="63">
        <f t="shared" si="12"/>
        <v>5.8979999999999998E-2</v>
      </c>
      <c r="M45" s="63">
        <f t="shared" si="13"/>
        <v>0.94367999999999996</v>
      </c>
      <c r="N45" s="79">
        <v>0.45902777777777776</v>
      </c>
      <c r="O45" s="63">
        <v>8</v>
      </c>
      <c r="P45" s="63">
        <v>1.5</v>
      </c>
      <c r="Q45" s="63">
        <f t="shared" si="14"/>
        <v>0.38336999999999999</v>
      </c>
      <c r="R45" s="79">
        <f t="shared" si="15"/>
        <v>0.54236111111111107</v>
      </c>
      <c r="S45" s="87">
        <f t="shared" si="16"/>
        <v>0.32</v>
      </c>
      <c r="T45" s="87">
        <f t="shared" si="17"/>
        <v>0.13</v>
      </c>
      <c r="U45" s="89">
        <f t="shared" si="18"/>
        <v>0.19</v>
      </c>
      <c r="V45" s="89">
        <f t="shared" si="19"/>
        <v>0.67999999999999994</v>
      </c>
    </row>
    <row r="46" spans="1:22" x14ac:dyDescent="0.25">
      <c r="A46" s="9" t="s">
        <v>413</v>
      </c>
      <c r="B46" s="63">
        <v>20</v>
      </c>
      <c r="C46" s="63">
        <v>1.298</v>
      </c>
      <c r="D46" s="63">
        <v>3.0289999999999999</v>
      </c>
      <c r="E46" s="63">
        <v>4.2569999999999997</v>
      </c>
      <c r="F46" s="63">
        <f t="shared" si="10"/>
        <v>2.9589999999999996</v>
      </c>
      <c r="G46" s="76">
        <f t="shared" si="11"/>
        <v>2.3656640757012601</v>
      </c>
      <c r="H46" s="63">
        <v>39.979999999999997</v>
      </c>
      <c r="I46" s="81">
        <v>45973</v>
      </c>
      <c r="J46" s="63">
        <v>17</v>
      </c>
      <c r="K46" s="63">
        <v>1.5</v>
      </c>
      <c r="L46" s="63">
        <f t="shared" si="12"/>
        <v>5.917999999999999E-2</v>
      </c>
      <c r="M46" s="63">
        <f t="shared" si="13"/>
        <v>0.91728999999999983</v>
      </c>
      <c r="N46" s="79">
        <v>0.46041666666666664</v>
      </c>
      <c r="O46" s="63">
        <v>9</v>
      </c>
      <c r="P46" s="63">
        <v>1.5</v>
      </c>
      <c r="Q46" s="63">
        <f t="shared" si="14"/>
        <v>0.44384999999999991</v>
      </c>
      <c r="R46" s="79">
        <f t="shared" si="15"/>
        <v>0.54374999999999996</v>
      </c>
      <c r="S46" s="87">
        <f t="shared" si="16"/>
        <v>0.31</v>
      </c>
      <c r="T46" s="87">
        <f t="shared" si="17"/>
        <v>0.15</v>
      </c>
      <c r="U46" s="89">
        <f t="shared" si="18"/>
        <v>0.16</v>
      </c>
      <c r="V46" s="89">
        <f t="shared" si="19"/>
        <v>0.69</v>
      </c>
    </row>
    <row r="47" spans="1:22" x14ac:dyDescent="0.25">
      <c r="A47" s="9" t="s">
        <v>415</v>
      </c>
      <c r="B47" s="63">
        <v>21</v>
      </c>
      <c r="C47" s="63">
        <v>0.98799999999999999</v>
      </c>
      <c r="D47" s="63">
        <v>3.008</v>
      </c>
      <c r="E47" s="63">
        <v>3.9249999999999998</v>
      </c>
      <c r="F47" s="63">
        <f t="shared" si="10"/>
        <v>2.9369999999999998</v>
      </c>
      <c r="G47" s="76">
        <f t="shared" si="11"/>
        <v>2.4174327545114123</v>
      </c>
      <c r="H47" s="63">
        <v>39.979999999999997</v>
      </c>
      <c r="I47" s="81">
        <v>45973</v>
      </c>
      <c r="J47" s="63">
        <v>18</v>
      </c>
      <c r="K47" s="63">
        <v>1.5</v>
      </c>
      <c r="L47" s="63">
        <f t="shared" si="12"/>
        <v>5.8739999999999994E-2</v>
      </c>
      <c r="M47" s="63">
        <f t="shared" si="13"/>
        <v>0.9692099999999999</v>
      </c>
      <c r="N47" s="79">
        <v>0.46111111111111114</v>
      </c>
      <c r="O47" s="63">
        <v>8.5</v>
      </c>
      <c r="P47" s="63">
        <v>1.5</v>
      </c>
      <c r="Q47" s="63">
        <f t="shared" si="14"/>
        <v>0.41117999999999993</v>
      </c>
      <c r="R47" s="79">
        <f t="shared" si="15"/>
        <v>0.54444444444444451</v>
      </c>
      <c r="S47" s="87">
        <f t="shared" si="16"/>
        <v>0.32999999999999996</v>
      </c>
      <c r="T47" s="87">
        <f t="shared" si="17"/>
        <v>0.13999999999999999</v>
      </c>
      <c r="U47" s="89">
        <f t="shared" si="18"/>
        <v>0.18999999999999997</v>
      </c>
      <c r="V47" s="89">
        <f t="shared" si="19"/>
        <v>0.67</v>
      </c>
    </row>
    <row r="48" spans="1:22" x14ac:dyDescent="0.25">
      <c r="A48" s="9" t="s">
        <v>418</v>
      </c>
      <c r="B48" s="63">
        <v>22</v>
      </c>
      <c r="C48" s="63">
        <v>1.0049999999999999</v>
      </c>
      <c r="D48" s="63">
        <v>3.0390000000000001</v>
      </c>
      <c r="E48" s="63">
        <v>3.97</v>
      </c>
      <c r="F48" s="63">
        <f t="shared" si="10"/>
        <v>2.9650000000000003</v>
      </c>
      <c r="G48" s="76">
        <f t="shared" si="11"/>
        <v>2.4957841483979708</v>
      </c>
      <c r="H48" s="63">
        <v>39.950000000000003</v>
      </c>
      <c r="I48" s="81">
        <v>45973</v>
      </c>
      <c r="J48" s="63">
        <v>19.5</v>
      </c>
      <c r="K48" s="63">
        <v>1.5</v>
      </c>
      <c r="L48" s="63">
        <f t="shared" si="12"/>
        <v>5.9300000000000005E-2</v>
      </c>
      <c r="M48" s="63">
        <f t="shared" si="13"/>
        <v>1.0674000000000001</v>
      </c>
      <c r="N48" s="79">
        <v>0.46250000000000002</v>
      </c>
      <c r="O48" s="63">
        <v>9</v>
      </c>
      <c r="P48" s="63">
        <v>1.5</v>
      </c>
      <c r="Q48" s="63">
        <f t="shared" si="14"/>
        <v>0.44475000000000003</v>
      </c>
      <c r="R48" s="79">
        <f t="shared" si="15"/>
        <v>0.54583333333333339</v>
      </c>
      <c r="S48" s="87">
        <f t="shared" si="16"/>
        <v>0.36</v>
      </c>
      <c r="T48" s="87">
        <f t="shared" si="17"/>
        <v>0.15</v>
      </c>
      <c r="U48" s="89">
        <f t="shared" si="18"/>
        <v>0.21</v>
      </c>
      <c r="V48" s="89">
        <f t="shared" si="19"/>
        <v>0.64</v>
      </c>
    </row>
    <row r="49" spans="1:22" x14ac:dyDescent="0.25">
      <c r="A49" s="9" t="s">
        <v>419</v>
      </c>
      <c r="B49" s="63">
        <v>23</v>
      </c>
      <c r="C49" s="63">
        <v>1.002</v>
      </c>
      <c r="D49" s="63">
        <v>3.0510000000000002</v>
      </c>
      <c r="E49" s="63">
        <v>3.9750000000000001</v>
      </c>
      <c r="F49" s="63">
        <f t="shared" si="10"/>
        <v>2.9729999999999999</v>
      </c>
      <c r="G49" s="76">
        <f t="shared" si="11"/>
        <v>2.6236125126135317</v>
      </c>
      <c r="H49" s="63">
        <v>39.99</v>
      </c>
      <c r="I49" s="81">
        <v>45973</v>
      </c>
      <c r="J49" s="63">
        <v>18.5</v>
      </c>
      <c r="K49" s="63">
        <v>1.5</v>
      </c>
      <c r="L49" s="63">
        <f t="shared" si="12"/>
        <v>5.9459999999999999E-2</v>
      </c>
      <c r="M49" s="63">
        <f t="shared" si="13"/>
        <v>1.0108200000000001</v>
      </c>
      <c r="N49" s="79">
        <v>0.46388888888888891</v>
      </c>
      <c r="O49" s="63">
        <v>8</v>
      </c>
      <c r="P49" s="63">
        <v>1.5</v>
      </c>
      <c r="Q49" s="63">
        <f t="shared" si="14"/>
        <v>0.38649</v>
      </c>
      <c r="R49" s="79">
        <f t="shared" si="15"/>
        <v>0.54722222222222228</v>
      </c>
      <c r="S49" s="87">
        <f t="shared" si="16"/>
        <v>0.34</v>
      </c>
      <c r="T49" s="87">
        <f t="shared" si="17"/>
        <v>0.13</v>
      </c>
      <c r="U49" s="89">
        <f t="shared" si="18"/>
        <v>0.21000000000000002</v>
      </c>
      <c r="V49" s="89">
        <f t="shared" si="19"/>
        <v>0.65999999999999992</v>
      </c>
    </row>
    <row r="50" spans="1:22" x14ac:dyDescent="0.25">
      <c r="A50" s="9" t="s">
        <v>428</v>
      </c>
      <c r="B50" s="63">
        <v>7</v>
      </c>
      <c r="C50" s="63">
        <v>1.323</v>
      </c>
      <c r="D50" s="63">
        <v>3.0129999999999999</v>
      </c>
      <c r="E50" s="63">
        <v>4.2779999999999996</v>
      </c>
      <c r="F50" s="63">
        <f t="shared" si="10"/>
        <v>2.9549999999999996</v>
      </c>
      <c r="G50" s="76">
        <f t="shared" si="11"/>
        <v>1.9627749576988252</v>
      </c>
      <c r="H50" s="63">
        <v>39.97</v>
      </c>
      <c r="I50" s="81">
        <v>45975</v>
      </c>
      <c r="J50" s="63">
        <v>13</v>
      </c>
      <c r="K50" s="63">
        <v>1.5</v>
      </c>
      <c r="L50" s="63">
        <f t="shared" si="12"/>
        <v>5.9099999999999993E-2</v>
      </c>
      <c r="M50" s="63">
        <f t="shared" si="13"/>
        <v>0.67964999999999987</v>
      </c>
      <c r="N50" s="79">
        <v>0.45</v>
      </c>
      <c r="O50" s="63">
        <v>6.5</v>
      </c>
      <c r="P50" s="63">
        <v>1.5</v>
      </c>
      <c r="Q50" s="63">
        <f t="shared" si="14"/>
        <v>0.29549999999999998</v>
      </c>
      <c r="R50" s="79">
        <f t="shared" si="15"/>
        <v>0.53333333333333333</v>
      </c>
      <c r="S50" s="87">
        <f t="shared" si="16"/>
        <v>0.22999999999999998</v>
      </c>
      <c r="T50" s="87">
        <f t="shared" si="17"/>
        <v>0.1</v>
      </c>
      <c r="U50" s="89">
        <f t="shared" si="18"/>
        <v>0.12999999999999998</v>
      </c>
      <c r="V50" s="89">
        <f t="shared" si="19"/>
        <v>0.77</v>
      </c>
    </row>
    <row r="51" spans="1:22" x14ac:dyDescent="0.25">
      <c r="A51" s="9" t="s">
        <v>431</v>
      </c>
      <c r="B51" s="63">
        <v>11</v>
      </c>
      <c r="C51" s="63">
        <v>0.98499999999999999</v>
      </c>
      <c r="D51" s="63">
        <v>3.0270000000000001</v>
      </c>
      <c r="E51" s="63">
        <v>3.9569999999999999</v>
      </c>
      <c r="F51" s="63">
        <f t="shared" si="10"/>
        <v>2.972</v>
      </c>
      <c r="G51" s="76">
        <f t="shared" si="11"/>
        <v>1.8506056527590902</v>
      </c>
      <c r="H51" s="63">
        <v>39.979999999999997</v>
      </c>
      <c r="I51" s="81">
        <v>45980</v>
      </c>
      <c r="J51" s="63">
        <v>13.5</v>
      </c>
      <c r="K51" s="63">
        <v>1</v>
      </c>
      <c r="L51" s="63">
        <f t="shared" si="12"/>
        <v>5.944E-2</v>
      </c>
      <c r="M51" s="63">
        <f t="shared" si="13"/>
        <v>0.74299999999999999</v>
      </c>
      <c r="N51" s="79">
        <v>7.7777777777777779E-2</v>
      </c>
      <c r="O51" s="63">
        <v>6.5</v>
      </c>
      <c r="P51" s="63">
        <v>1</v>
      </c>
      <c r="Q51" s="63">
        <f t="shared" si="14"/>
        <v>0.32691999999999999</v>
      </c>
      <c r="R51" s="79">
        <f t="shared" si="15"/>
        <v>0.16111111111111109</v>
      </c>
      <c r="S51" s="87">
        <f t="shared" si="16"/>
        <v>0.25</v>
      </c>
      <c r="T51" s="87">
        <f t="shared" si="17"/>
        <v>0.11</v>
      </c>
      <c r="U51" s="89">
        <f t="shared" si="18"/>
        <v>0.14000000000000001</v>
      </c>
      <c r="V51" s="89">
        <f t="shared" si="19"/>
        <v>0.75</v>
      </c>
    </row>
    <row r="52" spans="1:22" x14ac:dyDescent="0.25">
      <c r="A52" s="9" t="s">
        <v>432</v>
      </c>
      <c r="B52" s="63">
        <v>17</v>
      </c>
      <c r="C52" s="63">
        <v>1.0049999999999999</v>
      </c>
      <c r="D52" s="63">
        <v>3.0089999999999999</v>
      </c>
      <c r="E52" s="63">
        <v>3.9540000000000002</v>
      </c>
      <c r="F52" s="63">
        <f t="shared" si="10"/>
        <v>2.9490000000000003</v>
      </c>
      <c r="G52" s="76">
        <f t="shared" si="11"/>
        <v>2.0345879959308104</v>
      </c>
      <c r="H52" s="63">
        <v>40.090000000000003</v>
      </c>
      <c r="I52" s="81">
        <v>45980</v>
      </c>
      <c r="J52" s="63">
        <v>13</v>
      </c>
      <c r="K52" s="63">
        <v>1</v>
      </c>
      <c r="L52" s="63">
        <f t="shared" si="12"/>
        <v>5.8980000000000005E-2</v>
      </c>
      <c r="M52" s="63">
        <f t="shared" si="13"/>
        <v>0.70776000000000006</v>
      </c>
      <c r="N52" s="79">
        <v>7.9166666666666663E-2</v>
      </c>
      <c r="O52" s="63">
        <v>5.5</v>
      </c>
      <c r="P52" s="63">
        <v>1</v>
      </c>
      <c r="Q52" s="63">
        <f t="shared" si="14"/>
        <v>0.26541000000000003</v>
      </c>
      <c r="R52" s="79">
        <f t="shared" si="15"/>
        <v>0.16249999999999998</v>
      </c>
      <c r="S52" s="87">
        <f t="shared" si="16"/>
        <v>0.24</v>
      </c>
      <c r="T52" s="87">
        <f t="shared" si="17"/>
        <v>0.09</v>
      </c>
      <c r="U52" s="89">
        <f t="shared" si="18"/>
        <v>0.15</v>
      </c>
      <c r="V52" s="89">
        <f t="shared" si="19"/>
        <v>0.76</v>
      </c>
    </row>
    <row r="53" spans="1:22" x14ac:dyDescent="0.25">
      <c r="A53" s="9" t="s">
        <v>414</v>
      </c>
      <c r="B53" s="63">
        <v>3</v>
      </c>
      <c r="C53" s="63">
        <v>1</v>
      </c>
      <c r="D53" s="63">
        <v>3.024</v>
      </c>
      <c r="E53" s="63">
        <v>3.9470000000000001</v>
      </c>
      <c r="F53" s="63">
        <f t="shared" si="10"/>
        <v>2.9470000000000001</v>
      </c>
      <c r="G53" s="76">
        <f t="shared" si="11"/>
        <v>2.6128266033254142</v>
      </c>
      <c r="H53" s="63">
        <v>40.090000000000003</v>
      </c>
      <c r="I53" s="81">
        <v>45980</v>
      </c>
      <c r="J53" s="63">
        <v>17</v>
      </c>
      <c r="K53" s="63">
        <v>1</v>
      </c>
      <c r="L53" s="63">
        <f t="shared" si="12"/>
        <v>5.8939999999999999E-2</v>
      </c>
      <c r="M53" s="63">
        <f t="shared" si="13"/>
        <v>0.94303999999999999</v>
      </c>
      <c r="N53" s="79">
        <v>6.7361111111111108E-2</v>
      </c>
      <c r="O53" s="63">
        <v>8.5</v>
      </c>
      <c r="P53" s="63">
        <v>1</v>
      </c>
      <c r="Q53" s="63">
        <f t="shared" si="14"/>
        <v>0.44205</v>
      </c>
      <c r="R53" s="79">
        <f t="shared" si="15"/>
        <v>0.15069444444444444</v>
      </c>
      <c r="S53" s="87">
        <f t="shared" si="16"/>
        <v>0.32</v>
      </c>
      <c r="T53" s="87">
        <f t="shared" si="17"/>
        <v>0.15</v>
      </c>
      <c r="U53" s="89">
        <f t="shared" si="18"/>
        <v>0.17</v>
      </c>
      <c r="V53" s="89">
        <f t="shared" si="19"/>
        <v>0.67999999999999994</v>
      </c>
    </row>
    <row r="54" spans="1:22" x14ac:dyDescent="0.25">
      <c r="A54" s="9" t="s">
        <v>429</v>
      </c>
      <c r="B54" s="63">
        <v>8</v>
      </c>
      <c r="C54" s="63">
        <v>0.98399999999999999</v>
      </c>
      <c r="D54" s="63">
        <v>3.0270000000000001</v>
      </c>
      <c r="E54" s="63">
        <v>3.9540000000000002</v>
      </c>
      <c r="F54" s="63">
        <f t="shared" si="10"/>
        <v>2.97</v>
      </c>
      <c r="G54" s="76">
        <f t="shared" si="11"/>
        <v>1.9191919191919169</v>
      </c>
      <c r="H54" s="63">
        <v>40.04</v>
      </c>
      <c r="I54" s="81">
        <v>45975</v>
      </c>
      <c r="J54" s="63">
        <v>12.5</v>
      </c>
      <c r="K54" s="63">
        <v>1.5</v>
      </c>
      <c r="L54" s="63">
        <f t="shared" si="12"/>
        <v>5.9400000000000001E-2</v>
      </c>
      <c r="M54" s="63">
        <f t="shared" si="13"/>
        <v>0.65339999999999998</v>
      </c>
      <c r="N54" s="79">
        <v>0.45208333333333334</v>
      </c>
      <c r="O54" s="63">
        <v>7</v>
      </c>
      <c r="P54" s="63">
        <v>1.5</v>
      </c>
      <c r="Q54" s="63">
        <f t="shared" si="14"/>
        <v>0.32669999999999999</v>
      </c>
      <c r="R54" s="79">
        <f t="shared" si="15"/>
        <v>0.53541666666666665</v>
      </c>
      <c r="S54" s="87">
        <f t="shared" si="16"/>
        <v>0.21999999999999997</v>
      </c>
      <c r="T54" s="87">
        <f t="shared" si="17"/>
        <v>0.10999999999999999</v>
      </c>
      <c r="U54" s="89">
        <f t="shared" si="18"/>
        <v>0.10999999999999999</v>
      </c>
      <c r="V54" s="89">
        <f t="shared" si="19"/>
        <v>0.78</v>
      </c>
    </row>
    <row r="55" spans="1:22" x14ac:dyDescent="0.25">
      <c r="A55" s="9" t="s">
        <v>463</v>
      </c>
      <c r="B55" s="63">
        <v>9</v>
      </c>
      <c r="C55" s="63">
        <v>1.2909999999999999</v>
      </c>
      <c r="D55" s="63">
        <v>3.0129999999999999</v>
      </c>
      <c r="E55" s="63">
        <v>4.2699999999999996</v>
      </c>
      <c r="F55" s="63">
        <f t="shared" si="10"/>
        <v>2.9789999999999996</v>
      </c>
      <c r="G55" s="76">
        <f t="shared" si="11"/>
        <v>1.1413225914736576</v>
      </c>
      <c r="H55" s="63">
        <v>40.04</v>
      </c>
      <c r="I55" s="81">
        <v>45975</v>
      </c>
      <c r="J55" s="63">
        <v>26.5</v>
      </c>
      <c r="K55" s="63">
        <v>1.5</v>
      </c>
      <c r="L55" s="63">
        <f t="shared" si="12"/>
        <v>5.9579999999999994E-2</v>
      </c>
      <c r="M55" s="63">
        <f t="shared" si="13"/>
        <v>1.4894999999999998</v>
      </c>
      <c r="N55" s="79">
        <v>0.45277777777777778</v>
      </c>
      <c r="O55" s="63">
        <v>6.5</v>
      </c>
      <c r="P55" s="63">
        <v>1.5</v>
      </c>
      <c r="Q55" s="63">
        <f t="shared" si="14"/>
        <v>0.29789999999999994</v>
      </c>
      <c r="R55" s="79">
        <f t="shared" si="15"/>
        <v>0.53611111111111109</v>
      </c>
      <c r="S55" s="87">
        <f t="shared" si="16"/>
        <v>0.5</v>
      </c>
      <c r="T55" s="87">
        <f t="shared" si="17"/>
        <v>9.9999999999999992E-2</v>
      </c>
      <c r="U55" s="89">
        <f t="shared" si="18"/>
        <v>0.4</v>
      </c>
      <c r="V55" s="89">
        <f t="shared" si="19"/>
        <v>0.5</v>
      </c>
    </row>
    <row r="56" spans="1:22" x14ac:dyDescent="0.25">
      <c r="A56" s="9" t="s">
        <v>416</v>
      </c>
      <c r="B56" s="63">
        <v>4</v>
      </c>
      <c r="C56" s="63">
        <v>0.95599999999999996</v>
      </c>
      <c r="D56" s="63">
        <v>3.0350000000000001</v>
      </c>
      <c r="E56" s="63">
        <v>3.9129999999999998</v>
      </c>
      <c r="F56" s="63">
        <f t="shared" si="10"/>
        <v>2.9569999999999999</v>
      </c>
      <c r="G56" s="76">
        <f t="shared" si="11"/>
        <v>2.6378085897869563</v>
      </c>
      <c r="H56" s="63">
        <v>40.03</v>
      </c>
      <c r="I56" s="81">
        <v>45980</v>
      </c>
      <c r="J56" s="63">
        <v>19.5</v>
      </c>
      <c r="K56" s="63">
        <v>1</v>
      </c>
      <c r="L56" s="63">
        <f t="shared" si="12"/>
        <v>5.9139999999999998E-2</v>
      </c>
      <c r="M56" s="63">
        <f t="shared" si="13"/>
        <v>1.09409</v>
      </c>
      <c r="N56" s="79">
        <v>6.8750000000000006E-2</v>
      </c>
      <c r="O56" s="63">
        <v>9</v>
      </c>
      <c r="P56" s="63">
        <v>1</v>
      </c>
      <c r="Q56" s="63">
        <f t="shared" si="14"/>
        <v>0.47311999999999999</v>
      </c>
      <c r="R56" s="79">
        <f t="shared" si="15"/>
        <v>0.15208333333333335</v>
      </c>
      <c r="S56" s="87">
        <f t="shared" si="16"/>
        <v>0.37</v>
      </c>
      <c r="T56" s="87">
        <f t="shared" si="17"/>
        <v>0.16</v>
      </c>
      <c r="U56" s="89">
        <f t="shared" si="18"/>
        <v>0.21</v>
      </c>
      <c r="V56" s="89">
        <f t="shared" si="19"/>
        <v>0.63</v>
      </c>
    </row>
    <row r="57" spans="1:22" x14ac:dyDescent="0.25">
      <c r="A57" s="9" t="s">
        <v>473</v>
      </c>
      <c r="B57" s="63">
        <v>10</v>
      </c>
      <c r="C57" s="63">
        <v>0.95299999999999996</v>
      </c>
      <c r="D57" s="63">
        <v>3.044</v>
      </c>
      <c r="E57" s="63">
        <v>3.976</v>
      </c>
      <c r="F57" s="63">
        <f t="shared" si="10"/>
        <v>3.0230000000000001</v>
      </c>
      <c r="G57" s="76">
        <f t="shared" si="11"/>
        <v>0.69467416473701316</v>
      </c>
      <c r="H57" s="63">
        <v>40.06</v>
      </c>
      <c r="I57" s="81">
        <v>45975</v>
      </c>
      <c r="J57" s="63">
        <v>11</v>
      </c>
      <c r="K57" s="63">
        <v>1.5</v>
      </c>
      <c r="L57" s="63">
        <f t="shared" si="12"/>
        <v>6.046E-2</v>
      </c>
      <c r="M57" s="63">
        <f t="shared" si="13"/>
        <v>0.57437000000000005</v>
      </c>
      <c r="N57" s="79">
        <v>0.45416666666666666</v>
      </c>
      <c r="O57" s="63">
        <v>4</v>
      </c>
      <c r="P57" s="63">
        <v>1.5</v>
      </c>
      <c r="Q57" s="63">
        <f t="shared" si="14"/>
        <v>0.15115000000000001</v>
      </c>
      <c r="R57" s="79">
        <f t="shared" si="15"/>
        <v>0.53749999999999998</v>
      </c>
      <c r="S57" s="87">
        <f t="shared" si="16"/>
        <v>0.19</v>
      </c>
      <c r="T57" s="87">
        <f t="shared" si="17"/>
        <v>0.05</v>
      </c>
      <c r="U57" s="89">
        <f t="shared" si="18"/>
        <v>0.14000000000000001</v>
      </c>
      <c r="V57" s="89">
        <f t="shared" si="19"/>
        <v>0.81</v>
      </c>
    </row>
    <row r="58" spans="1:22" x14ac:dyDescent="0.25">
      <c r="A58" s="9" t="s">
        <v>417</v>
      </c>
      <c r="B58" s="63">
        <v>5</v>
      </c>
      <c r="C58" s="63">
        <v>0.95599999999999996</v>
      </c>
      <c r="D58" s="63">
        <v>3.0270000000000001</v>
      </c>
      <c r="E58" s="63">
        <v>3.9</v>
      </c>
      <c r="F58" s="63">
        <f t="shared" si="10"/>
        <v>2.944</v>
      </c>
      <c r="G58" s="76">
        <f t="shared" si="11"/>
        <v>2.8192934782608758</v>
      </c>
      <c r="H58" s="63">
        <v>39.99</v>
      </c>
      <c r="I58" s="81">
        <v>45980</v>
      </c>
      <c r="J58" s="63">
        <v>21</v>
      </c>
      <c r="K58" s="63">
        <v>1</v>
      </c>
      <c r="L58" s="63">
        <f t="shared" si="12"/>
        <v>5.8880000000000002E-2</v>
      </c>
      <c r="M58" s="63">
        <f t="shared" si="13"/>
        <v>1.1776</v>
      </c>
      <c r="N58" s="79">
        <v>6.9444444444444448E-2</v>
      </c>
      <c r="O58" s="63">
        <v>9</v>
      </c>
      <c r="P58" s="63">
        <v>1</v>
      </c>
      <c r="Q58" s="63">
        <f t="shared" si="14"/>
        <v>0.47104000000000001</v>
      </c>
      <c r="R58" s="79">
        <f t="shared" si="15"/>
        <v>0.15277777777777779</v>
      </c>
      <c r="S58" s="87">
        <f t="shared" si="16"/>
        <v>0.4</v>
      </c>
      <c r="T58" s="87">
        <f t="shared" si="17"/>
        <v>0.16</v>
      </c>
      <c r="U58" s="89">
        <f t="shared" si="18"/>
        <v>0.24000000000000002</v>
      </c>
      <c r="V58" s="89">
        <f t="shared" si="19"/>
        <v>0.6</v>
      </c>
    </row>
    <row r="59" spans="1:22" x14ac:dyDescent="0.25">
      <c r="A59" s="9" t="s">
        <v>474</v>
      </c>
      <c r="B59" s="63">
        <v>11</v>
      </c>
      <c r="C59" s="63">
        <v>0.98499999999999999</v>
      </c>
      <c r="D59" s="63">
        <v>3.008</v>
      </c>
      <c r="E59" s="63">
        <v>3.9649999999999999</v>
      </c>
      <c r="F59" s="63">
        <f t="shared" si="10"/>
        <v>2.98</v>
      </c>
      <c r="G59" s="76">
        <f t="shared" si="11"/>
        <v>0.93959731543624236</v>
      </c>
      <c r="H59" s="63">
        <v>40.020000000000003</v>
      </c>
      <c r="I59" s="81">
        <v>45975</v>
      </c>
      <c r="J59" s="63">
        <v>16.5</v>
      </c>
      <c r="K59" s="63">
        <v>1.5</v>
      </c>
      <c r="L59" s="63">
        <f t="shared" si="12"/>
        <v>5.96E-2</v>
      </c>
      <c r="M59" s="63">
        <f t="shared" si="13"/>
        <v>0.89400000000000002</v>
      </c>
      <c r="N59" s="79">
        <v>0.45555555555555555</v>
      </c>
      <c r="O59" s="63">
        <v>4.5</v>
      </c>
      <c r="P59" s="63">
        <v>1.5</v>
      </c>
      <c r="Q59" s="63">
        <f t="shared" si="14"/>
        <v>0.17880000000000001</v>
      </c>
      <c r="R59" s="79">
        <f t="shared" si="15"/>
        <v>0.53888888888888886</v>
      </c>
      <c r="S59" s="87">
        <f t="shared" si="16"/>
        <v>0.3</v>
      </c>
      <c r="T59" s="87">
        <f t="shared" si="17"/>
        <v>6.0000000000000005E-2</v>
      </c>
      <c r="U59" s="89">
        <f t="shared" si="18"/>
        <v>0.24</v>
      </c>
      <c r="V59" s="89">
        <f t="shared" si="19"/>
        <v>0.7</v>
      </c>
    </row>
    <row r="60" spans="1:22" x14ac:dyDescent="0.25">
      <c r="A60" s="9" t="s">
        <v>475</v>
      </c>
      <c r="B60" s="63">
        <v>17</v>
      </c>
      <c r="C60" s="63">
        <v>1.0029999999999999</v>
      </c>
      <c r="D60" s="63">
        <v>3.0230000000000001</v>
      </c>
      <c r="E60" s="63">
        <v>4.0019999999999998</v>
      </c>
      <c r="F60" s="63">
        <f t="shared" si="10"/>
        <v>2.9989999999999997</v>
      </c>
      <c r="G60" s="76">
        <f t="shared" si="11"/>
        <v>0.80026675558521077</v>
      </c>
      <c r="H60" s="63">
        <v>40.049999999999997</v>
      </c>
      <c r="I60" s="81">
        <v>45975</v>
      </c>
      <c r="J60" s="63">
        <v>12</v>
      </c>
      <c r="K60" s="63">
        <v>1.5</v>
      </c>
      <c r="L60" s="63">
        <f t="shared" si="12"/>
        <v>5.9979999999999992E-2</v>
      </c>
      <c r="M60" s="63">
        <f t="shared" si="13"/>
        <v>0.62978999999999996</v>
      </c>
      <c r="N60" s="79">
        <v>0.45694444444444443</v>
      </c>
      <c r="O60" s="63">
        <v>5.5</v>
      </c>
      <c r="P60" s="63">
        <v>1.5</v>
      </c>
      <c r="Q60" s="63">
        <f t="shared" si="14"/>
        <v>0.23991999999999997</v>
      </c>
      <c r="R60" s="79">
        <f t="shared" si="15"/>
        <v>0.54027777777777775</v>
      </c>
      <c r="S60" s="87">
        <f t="shared" si="16"/>
        <v>0.21000000000000002</v>
      </c>
      <c r="T60" s="87">
        <f t="shared" si="17"/>
        <v>0.08</v>
      </c>
      <c r="U60" s="89">
        <f t="shared" si="18"/>
        <v>0.13</v>
      </c>
      <c r="V60" s="89">
        <f t="shared" si="19"/>
        <v>0.79</v>
      </c>
    </row>
    <row r="61" spans="1:22" x14ac:dyDescent="0.25">
      <c r="A61" s="9" t="s">
        <v>476</v>
      </c>
      <c r="B61" s="63">
        <v>19</v>
      </c>
      <c r="C61" s="63">
        <v>0.96099999999999997</v>
      </c>
      <c r="D61" s="63">
        <v>3.048</v>
      </c>
      <c r="E61" s="63">
        <v>3.98</v>
      </c>
      <c r="F61" s="63">
        <f t="shared" si="10"/>
        <v>3.0190000000000001</v>
      </c>
      <c r="G61" s="76">
        <f t="shared" si="11"/>
        <v>0.96058297449486307</v>
      </c>
      <c r="H61" s="63">
        <v>40.06</v>
      </c>
      <c r="I61" s="81">
        <v>45975</v>
      </c>
      <c r="J61" s="63">
        <v>11</v>
      </c>
      <c r="K61" s="63">
        <v>1.5</v>
      </c>
      <c r="L61" s="63">
        <f t="shared" si="12"/>
        <v>6.0380000000000003E-2</v>
      </c>
      <c r="M61" s="63">
        <f t="shared" si="13"/>
        <v>0.57361000000000006</v>
      </c>
      <c r="N61" s="79">
        <v>0.45833333333333331</v>
      </c>
      <c r="O61" s="63">
        <v>5.5</v>
      </c>
      <c r="P61" s="63">
        <v>1.5</v>
      </c>
      <c r="Q61" s="63">
        <f t="shared" si="14"/>
        <v>0.24152000000000001</v>
      </c>
      <c r="R61" s="79">
        <f t="shared" si="15"/>
        <v>0.54166666666666663</v>
      </c>
      <c r="S61" s="87">
        <f t="shared" si="16"/>
        <v>0.19</v>
      </c>
      <c r="T61" s="87">
        <f t="shared" si="17"/>
        <v>0.08</v>
      </c>
      <c r="U61" s="89">
        <f t="shared" si="18"/>
        <v>0.11</v>
      </c>
      <c r="V61" s="89">
        <f t="shared" si="19"/>
        <v>0.81</v>
      </c>
    </row>
    <row r="62" spans="1:22" x14ac:dyDescent="0.25">
      <c r="A62" s="9" t="s">
        <v>444</v>
      </c>
      <c r="B62" s="63">
        <v>20</v>
      </c>
      <c r="C62" s="63">
        <v>1.294</v>
      </c>
      <c r="D62" s="63">
        <v>3.016</v>
      </c>
      <c r="E62" s="63">
        <v>4.2069999999999999</v>
      </c>
      <c r="F62" s="63">
        <f t="shared" si="10"/>
        <v>2.9129999999999998</v>
      </c>
      <c r="G62" s="76">
        <f t="shared" si="11"/>
        <v>3.5358736697562723</v>
      </c>
      <c r="H62" s="63">
        <v>39.979999999999997</v>
      </c>
      <c r="I62" s="81">
        <v>45975</v>
      </c>
      <c r="J62" s="63">
        <v>23.5</v>
      </c>
      <c r="K62" s="63">
        <v>1.5</v>
      </c>
      <c r="L62" s="63">
        <f t="shared" si="12"/>
        <v>5.8259999999999999E-2</v>
      </c>
      <c r="M62" s="63">
        <f t="shared" si="13"/>
        <v>1.28172</v>
      </c>
      <c r="N62" s="79">
        <v>0.4597222222222222</v>
      </c>
      <c r="O62" s="63">
        <v>11</v>
      </c>
      <c r="P62" s="63">
        <v>1.5</v>
      </c>
      <c r="Q62" s="63">
        <f t="shared" si="14"/>
        <v>0.55347000000000002</v>
      </c>
      <c r="R62" s="79">
        <f t="shared" si="15"/>
        <v>0.54305555555555551</v>
      </c>
      <c r="S62" s="87">
        <f t="shared" si="16"/>
        <v>0.44</v>
      </c>
      <c r="T62" s="87">
        <f t="shared" si="17"/>
        <v>0.19000000000000003</v>
      </c>
      <c r="U62" s="89">
        <f t="shared" si="18"/>
        <v>0.24999999999999997</v>
      </c>
      <c r="V62" s="89">
        <f t="shared" si="19"/>
        <v>0.56000000000000005</v>
      </c>
    </row>
    <row r="63" spans="1:22" x14ac:dyDescent="0.25">
      <c r="A63" s="9" t="s">
        <v>462</v>
      </c>
      <c r="B63" s="63">
        <v>24</v>
      </c>
      <c r="C63" s="63">
        <v>0.99099999999999999</v>
      </c>
      <c r="D63" s="63">
        <v>3.0430000000000001</v>
      </c>
      <c r="E63" s="63">
        <v>4.0049999999999999</v>
      </c>
      <c r="F63" s="63">
        <f t="shared" si="10"/>
        <v>3.0139999999999998</v>
      </c>
      <c r="G63" s="76">
        <f t="shared" si="11"/>
        <v>0.96217650962177703</v>
      </c>
      <c r="H63" s="63">
        <v>39.99</v>
      </c>
      <c r="I63" s="81">
        <v>45973</v>
      </c>
      <c r="J63" s="63">
        <v>9.5</v>
      </c>
      <c r="K63" s="63">
        <v>1.5</v>
      </c>
      <c r="L63" s="63">
        <f t="shared" si="12"/>
        <v>6.0279999999999993E-2</v>
      </c>
      <c r="M63" s="63">
        <f t="shared" si="13"/>
        <v>0.48223999999999995</v>
      </c>
      <c r="N63" s="79">
        <v>0.46736111111111112</v>
      </c>
      <c r="O63" s="63">
        <v>5.5</v>
      </c>
      <c r="P63" s="63">
        <v>1.5</v>
      </c>
      <c r="Q63" s="63">
        <f t="shared" si="14"/>
        <v>0.24111999999999997</v>
      </c>
      <c r="R63" s="79">
        <f t="shared" si="15"/>
        <v>0.55069444444444449</v>
      </c>
      <c r="S63" s="87">
        <f t="shared" si="16"/>
        <v>0.16</v>
      </c>
      <c r="T63" s="87">
        <f t="shared" si="17"/>
        <v>0.08</v>
      </c>
      <c r="U63" s="89">
        <f t="shared" si="18"/>
        <v>0.08</v>
      </c>
      <c r="V63" s="89">
        <f t="shared" si="19"/>
        <v>0.84</v>
      </c>
    </row>
    <row r="64" spans="1:22" x14ac:dyDescent="0.25">
      <c r="A64" s="9" t="s">
        <v>469</v>
      </c>
      <c r="B64" s="63">
        <v>25</v>
      </c>
      <c r="C64" s="63">
        <v>1.0129999999999999</v>
      </c>
      <c r="D64" s="63">
        <v>3.048</v>
      </c>
      <c r="E64" s="63">
        <v>4.0279999999999996</v>
      </c>
      <c r="F64" s="63">
        <f t="shared" si="10"/>
        <v>3.0149999999999997</v>
      </c>
      <c r="G64" s="76">
        <f t="shared" si="11"/>
        <v>1.0945273631840917</v>
      </c>
      <c r="H64" s="63">
        <v>39.96</v>
      </c>
      <c r="I64" s="81">
        <v>45973</v>
      </c>
      <c r="J64" s="63">
        <v>9</v>
      </c>
      <c r="K64" s="63">
        <v>1.5</v>
      </c>
      <c r="L64" s="63">
        <f t="shared" si="12"/>
        <v>6.0299999999999992E-2</v>
      </c>
      <c r="M64" s="63">
        <f t="shared" si="13"/>
        <v>0.45224999999999993</v>
      </c>
      <c r="N64" s="79">
        <v>0.46875</v>
      </c>
      <c r="O64" s="63">
        <v>5</v>
      </c>
      <c r="P64" s="63">
        <v>1.5</v>
      </c>
      <c r="Q64" s="63">
        <f t="shared" si="14"/>
        <v>0.21104999999999996</v>
      </c>
      <c r="R64" s="79">
        <f t="shared" si="15"/>
        <v>0.55208333333333337</v>
      </c>
      <c r="S64" s="87">
        <f t="shared" si="16"/>
        <v>0.15</v>
      </c>
      <c r="T64" s="87">
        <f t="shared" si="17"/>
        <v>6.9999999999999993E-2</v>
      </c>
      <c r="U64" s="89">
        <f t="shared" si="18"/>
        <v>0.08</v>
      </c>
      <c r="V64" s="89">
        <f t="shared" si="19"/>
        <v>0.85</v>
      </c>
    </row>
    <row r="65" spans="1:22" x14ac:dyDescent="0.25">
      <c r="A65" s="9" t="s">
        <v>470</v>
      </c>
      <c r="B65" s="63">
        <v>26</v>
      </c>
      <c r="C65" s="63">
        <v>1.008</v>
      </c>
      <c r="D65" s="63">
        <v>3.0139999999999998</v>
      </c>
      <c r="E65" s="63">
        <v>3.9780000000000002</v>
      </c>
      <c r="F65" s="63">
        <f t="shared" si="10"/>
        <v>2.97</v>
      </c>
      <c r="G65" s="76">
        <f t="shared" si="11"/>
        <v>1.4814814814814679</v>
      </c>
      <c r="H65" s="63">
        <v>39.979999999999997</v>
      </c>
      <c r="I65" s="81">
        <v>45973</v>
      </c>
      <c r="J65" s="63">
        <v>11.5</v>
      </c>
      <c r="K65" s="63">
        <v>1.5</v>
      </c>
      <c r="L65" s="63">
        <f t="shared" si="12"/>
        <v>5.9400000000000001E-2</v>
      </c>
      <c r="M65" s="63">
        <f t="shared" si="13"/>
        <v>0.59399999999999997</v>
      </c>
      <c r="N65" s="79">
        <v>0.47013888888888888</v>
      </c>
      <c r="O65" s="63">
        <v>6</v>
      </c>
      <c r="P65" s="63">
        <v>1.5</v>
      </c>
      <c r="Q65" s="63">
        <f t="shared" si="14"/>
        <v>0.26729999999999998</v>
      </c>
      <c r="R65" s="79">
        <f t="shared" si="15"/>
        <v>0.55347222222222225</v>
      </c>
      <c r="S65" s="87">
        <f t="shared" si="16"/>
        <v>0.19999999999999998</v>
      </c>
      <c r="T65" s="87">
        <f t="shared" si="17"/>
        <v>8.9999999999999983E-2</v>
      </c>
      <c r="U65" s="89">
        <f t="shared" si="18"/>
        <v>0.11</v>
      </c>
      <c r="V65" s="89">
        <f t="shared" si="19"/>
        <v>0.8</v>
      </c>
    </row>
    <row r="66" spans="1:22" x14ac:dyDescent="0.25">
      <c r="A66" s="9" t="s">
        <v>464</v>
      </c>
      <c r="B66" s="63">
        <v>21</v>
      </c>
      <c r="C66" s="63">
        <v>0.99399999999999999</v>
      </c>
      <c r="D66" s="63">
        <v>3.0409999999999999</v>
      </c>
      <c r="E66" s="63">
        <v>3.976</v>
      </c>
      <c r="F66" s="63">
        <f t="shared" ref="F66:F97" si="20">E66-C66</f>
        <v>2.9820000000000002</v>
      </c>
      <c r="G66" s="76">
        <f t="shared" ref="G66:G81" si="21">((D66-(E66-C66))/(E66-C66))*100</f>
        <v>1.978537894030842</v>
      </c>
      <c r="H66" s="63">
        <v>40</v>
      </c>
      <c r="I66" s="81">
        <v>45975</v>
      </c>
      <c r="J66" s="63">
        <v>16</v>
      </c>
      <c r="K66" s="63">
        <v>1.5</v>
      </c>
      <c r="L66" s="63">
        <f t="shared" ref="L66:L76" si="22">F66/50</f>
        <v>5.9640000000000006E-2</v>
      </c>
      <c r="M66" s="63">
        <f t="shared" ref="M66:M97" si="23">(J66-K66)*L66</f>
        <v>0.8647800000000001</v>
      </c>
      <c r="N66" s="79">
        <v>0.46111111111111114</v>
      </c>
      <c r="O66" s="63">
        <v>7.5</v>
      </c>
      <c r="P66" s="63">
        <v>1.5</v>
      </c>
      <c r="Q66" s="63">
        <f t="shared" ref="Q66:Q97" si="24">(O66-P66)*L66</f>
        <v>0.35784000000000005</v>
      </c>
      <c r="R66" s="79">
        <f t="shared" ref="R66:R81" si="25">N66+(TIME(2,0,0))</f>
        <v>0.54444444444444451</v>
      </c>
      <c r="S66" s="87">
        <f t="shared" ref="S66:S81" si="26">M66/F66</f>
        <v>0.29000000000000004</v>
      </c>
      <c r="T66" s="87">
        <f t="shared" ref="T66:T81" si="27">Q66/F66</f>
        <v>0.12000000000000001</v>
      </c>
      <c r="U66" s="89">
        <f t="shared" ref="U66:U97" si="28">S66-T66</f>
        <v>0.17000000000000004</v>
      </c>
      <c r="V66" s="89">
        <f t="shared" ref="V66:V76" si="29">1-S66</f>
        <v>0.71</v>
      </c>
    </row>
    <row r="67" spans="1:22" x14ac:dyDescent="0.25">
      <c r="A67" s="9" t="s">
        <v>448</v>
      </c>
      <c r="B67" s="63">
        <v>23</v>
      </c>
      <c r="C67" s="63">
        <v>1.002</v>
      </c>
      <c r="D67" s="63">
        <v>3.0270000000000001</v>
      </c>
      <c r="E67" s="63">
        <v>3.9870000000000001</v>
      </c>
      <c r="F67" s="63">
        <f t="shared" si="20"/>
        <v>2.9850000000000003</v>
      </c>
      <c r="G67" s="76">
        <f t="shared" si="21"/>
        <v>1.4070351758793906</v>
      </c>
      <c r="H67" s="63">
        <v>40</v>
      </c>
      <c r="I67" s="81">
        <v>45981</v>
      </c>
      <c r="J67" s="63">
        <v>16</v>
      </c>
      <c r="K67" s="63">
        <v>1</v>
      </c>
      <c r="L67" s="63">
        <f t="shared" si="22"/>
        <v>5.9700000000000003E-2</v>
      </c>
      <c r="M67" s="63">
        <f t="shared" si="23"/>
        <v>0.89550000000000007</v>
      </c>
      <c r="N67" s="79">
        <v>0.49166666666666664</v>
      </c>
      <c r="O67" s="63">
        <v>6.5</v>
      </c>
      <c r="P67" s="63">
        <v>1.5</v>
      </c>
      <c r="Q67" s="63">
        <f t="shared" si="24"/>
        <v>0.29849999999999999</v>
      </c>
      <c r="R67" s="79">
        <f t="shared" si="25"/>
        <v>0.57499999999999996</v>
      </c>
      <c r="S67" s="87">
        <f t="shared" si="26"/>
        <v>0.3</v>
      </c>
      <c r="T67" s="87">
        <f t="shared" si="27"/>
        <v>9.9999999999999992E-2</v>
      </c>
      <c r="U67" s="89">
        <f t="shared" si="28"/>
        <v>0.2</v>
      </c>
      <c r="V67" s="89">
        <f t="shared" si="29"/>
        <v>0.7</v>
      </c>
    </row>
    <row r="68" spans="1:22" x14ac:dyDescent="0.25">
      <c r="A68" s="9" t="s">
        <v>449</v>
      </c>
      <c r="B68" s="63">
        <v>24</v>
      </c>
      <c r="C68" s="63">
        <v>0.995</v>
      </c>
      <c r="D68" s="63">
        <v>3.0209999999999999</v>
      </c>
      <c r="E68" s="63">
        <v>3.964</v>
      </c>
      <c r="F68" s="63">
        <f t="shared" si="20"/>
        <v>2.9689999999999999</v>
      </c>
      <c r="G68" s="76">
        <f t="shared" si="21"/>
        <v>1.7514314584035047</v>
      </c>
      <c r="H68" s="63">
        <v>40.03</v>
      </c>
      <c r="I68" s="81">
        <v>45981</v>
      </c>
      <c r="J68" s="63">
        <v>14.5</v>
      </c>
      <c r="K68" s="63">
        <v>1</v>
      </c>
      <c r="L68" s="63">
        <f t="shared" si="22"/>
        <v>5.9379999999999995E-2</v>
      </c>
      <c r="M68" s="63">
        <f t="shared" si="23"/>
        <v>0.80162999999999995</v>
      </c>
      <c r="N68" s="79">
        <v>0.49236111111111114</v>
      </c>
      <c r="O68" s="63">
        <v>6</v>
      </c>
      <c r="P68" s="63">
        <v>1.5</v>
      </c>
      <c r="Q68" s="63">
        <f t="shared" si="24"/>
        <v>0.26721</v>
      </c>
      <c r="R68" s="79">
        <f t="shared" si="25"/>
        <v>0.57569444444444451</v>
      </c>
      <c r="S68" s="87">
        <f t="shared" si="26"/>
        <v>0.27</v>
      </c>
      <c r="T68" s="87">
        <f t="shared" si="27"/>
        <v>9.0000000000000011E-2</v>
      </c>
      <c r="U68" s="89">
        <f t="shared" si="28"/>
        <v>0.18</v>
      </c>
      <c r="V68" s="89">
        <f t="shared" si="29"/>
        <v>0.73</v>
      </c>
    </row>
    <row r="69" spans="1:22" x14ac:dyDescent="0.25">
      <c r="A69" s="9" t="s">
        <v>420</v>
      </c>
      <c r="B69" s="63">
        <v>6</v>
      </c>
      <c r="C69" s="63">
        <v>0.96699999999999997</v>
      </c>
      <c r="D69" s="63">
        <v>3.0049999999999999</v>
      </c>
      <c r="E69" s="63">
        <v>3.8980000000000001</v>
      </c>
      <c r="F69" s="63">
        <f t="shared" si="20"/>
        <v>2.931</v>
      </c>
      <c r="G69" s="76">
        <f t="shared" si="21"/>
        <v>2.5247355851245254</v>
      </c>
      <c r="H69" s="63">
        <v>39.97</v>
      </c>
      <c r="I69" s="81">
        <v>45980</v>
      </c>
      <c r="J69" s="63">
        <v>17.5</v>
      </c>
      <c r="K69" s="63">
        <v>1</v>
      </c>
      <c r="L69" s="63">
        <f t="shared" si="22"/>
        <v>5.8619999999999998E-2</v>
      </c>
      <c r="M69" s="63">
        <f t="shared" si="23"/>
        <v>0.96722999999999992</v>
      </c>
      <c r="N69" s="79">
        <v>7.0833333333333331E-2</v>
      </c>
      <c r="O69" s="63">
        <v>7.5</v>
      </c>
      <c r="P69" s="63">
        <v>1</v>
      </c>
      <c r="Q69" s="63">
        <f t="shared" si="24"/>
        <v>0.38102999999999998</v>
      </c>
      <c r="R69" s="79">
        <f t="shared" si="25"/>
        <v>0.15416666666666667</v>
      </c>
      <c r="S69" s="87">
        <f t="shared" si="26"/>
        <v>0.32999999999999996</v>
      </c>
      <c r="T69" s="87">
        <f t="shared" si="27"/>
        <v>0.13</v>
      </c>
      <c r="U69" s="89">
        <f t="shared" si="28"/>
        <v>0.19999999999999996</v>
      </c>
      <c r="V69" s="89">
        <f t="shared" si="29"/>
        <v>0.67</v>
      </c>
    </row>
    <row r="70" spans="1:22" x14ac:dyDescent="0.25">
      <c r="A70" s="9" t="s">
        <v>421</v>
      </c>
      <c r="B70" s="63">
        <v>7</v>
      </c>
      <c r="C70" s="63">
        <v>1.3220000000000001</v>
      </c>
      <c r="D70" s="63">
        <v>3.0289999999999999</v>
      </c>
      <c r="E70" s="63">
        <v>4.2770000000000001</v>
      </c>
      <c r="F70" s="63">
        <f t="shared" si="20"/>
        <v>2.9550000000000001</v>
      </c>
      <c r="G70" s="76">
        <f t="shared" si="21"/>
        <v>2.5042301184433109</v>
      </c>
      <c r="H70" s="63">
        <v>39.979999999999997</v>
      </c>
      <c r="I70" s="81">
        <v>45980</v>
      </c>
      <c r="J70" s="63">
        <v>18</v>
      </c>
      <c r="K70" s="63">
        <v>1</v>
      </c>
      <c r="L70" s="63">
        <f t="shared" si="22"/>
        <v>5.91E-2</v>
      </c>
      <c r="M70" s="63">
        <f t="shared" si="23"/>
        <v>1.0046999999999999</v>
      </c>
      <c r="N70" s="79">
        <v>7.2222222222222215E-2</v>
      </c>
      <c r="O70" s="63">
        <v>7.5</v>
      </c>
      <c r="P70" s="63">
        <v>1</v>
      </c>
      <c r="Q70" s="63">
        <f t="shared" si="24"/>
        <v>0.38414999999999999</v>
      </c>
      <c r="R70" s="79">
        <f t="shared" si="25"/>
        <v>0.15555555555555556</v>
      </c>
      <c r="S70" s="87">
        <f t="shared" si="26"/>
        <v>0.33999999999999997</v>
      </c>
      <c r="T70" s="87">
        <f t="shared" si="27"/>
        <v>0.13</v>
      </c>
      <c r="U70" s="89">
        <f t="shared" si="28"/>
        <v>0.20999999999999996</v>
      </c>
      <c r="V70" s="89">
        <f t="shared" si="29"/>
        <v>0.66</v>
      </c>
    </row>
    <row r="71" spans="1:22" x14ac:dyDescent="0.25">
      <c r="A71" s="9" t="s">
        <v>434</v>
      </c>
      <c r="B71" s="63">
        <v>19</v>
      </c>
      <c r="C71" s="63">
        <v>0.96099999999999997</v>
      </c>
      <c r="D71" s="63">
        <v>3.0390000000000001</v>
      </c>
      <c r="E71" s="63">
        <v>3.9689999999999999</v>
      </c>
      <c r="F71" s="63">
        <f t="shared" si="20"/>
        <v>3.008</v>
      </c>
      <c r="G71" s="76">
        <f t="shared" si="21"/>
        <v>1.0305851063829834</v>
      </c>
      <c r="H71" s="63">
        <v>40.04</v>
      </c>
      <c r="I71" s="81">
        <v>45980</v>
      </c>
      <c r="J71" s="63">
        <v>15</v>
      </c>
      <c r="K71" s="63">
        <v>1</v>
      </c>
      <c r="L71" s="63">
        <f t="shared" si="22"/>
        <v>6.0159999999999998E-2</v>
      </c>
      <c r="M71" s="63">
        <f t="shared" si="23"/>
        <v>0.84223999999999999</v>
      </c>
      <c r="N71" s="79">
        <v>7.9861111111111105E-2</v>
      </c>
      <c r="O71" s="63">
        <v>6.5</v>
      </c>
      <c r="P71" s="63">
        <v>1</v>
      </c>
      <c r="Q71" s="63">
        <f t="shared" si="24"/>
        <v>0.33088000000000001</v>
      </c>
      <c r="R71" s="79">
        <f t="shared" si="25"/>
        <v>0.16319444444444442</v>
      </c>
      <c r="S71" s="87">
        <f t="shared" si="26"/>
        <v>0.27999999999999997</v>
      </c>
      <c r="T71" s="87">
        <f t="shared" si="27"/>
        <v>0.11</v>
      </c>
      <c r="U71" s="89">
        <f t="shared" si="28"/>
        <v>0.16999999999999998</v>
      </c>
      <c r="V71" s="89">
        <f t="shared" si="29"/>
        <v>0.72</v>
      </c>
    </row>
    <row r="72" spans="1:22" x14ac:dyDescent="0.25">
      <c r="A72" s="9" t="s">
        <v>453</v>
      </c>
      <c r="B72" s="63">
        <v>25</v>
      </c>
      <c r="C72" s="63">
        <v>1.0129999999999999</v>
      </c>
      <c r="D72" s="63">
        <v>3.0409999999999999</v>
      </c>
      <c r="E72" s="63">
        <v>4.0030000000000001</v>
      </c>
      <c r="F72" s="63">
        <f t="shared" si="20"/>
        <v>2.99</v>
      </c>
      <c r="G72" s="76">
        <f t="shared" si="21"/>
        <v>1.7056856187290872</v>
      </c>
      <c r="H72" s="63">
        <v>28.29</v>
      </c>
      <c r="I72" s="81">
        <v>45981</v>
      </c>
      <c r="J72" s="63">
        <v>11</v>
      </c>
      <c r="K72" s="63">
        <v>1</v>
      </c>
      <c r="L72" s="63">
        <f t="shared" si="22"/>
        <v>5.9800000000000006E-2</v>
      </c>
      <c r="M72" s="63">
        <f t="shared" si="23"/>
        <v>0.59800000000000009</v>
      </c>
      <c r="N72" s="79">
        <v>0.49375000000000002</v>
      </c>
      <c r="O72" s="63">
        <v>5</v>
      </c>
      <c r="P72" s="63">
        <v>1.5</v>
      </c>
      <c r="Q72" s="63">
        <f t="shared" si="24"/>
        <v>0.20930000000000001</v>
      </c>
      <c r="R72" s="79">
        <f t="shared" si="25"/>
        <v>0.57708333333333339</v>
      </c>
      <c r="S72" s="87">
        <f t="shared" si="26"/>
        <v>0.2</v>
      </c>
      <c r="T72" s="87">
        <f t="shared" si="27"/>
        <v>6.9999999999999993E-2</v>
      </c>
      <c r="U72" s="89">
        <f t="shared" si="28"/>
        <v>0.13</v>
      </c>
      <c r="V72" s="89">
        <f t="shared" si="29"/>
        <v>0.8</v>
      </c>
    </row>
    <row r="73" spans="1:22" x14ac:dyDescent="0.25">
      <c r="A73" s="9" t="s">
        <v>454</v>
      </c>
      <c r="B73" s="63">
        <v>26</v>
      </c>
      <c r="C73" s="63">
        <v>1.01</v>
      </c>
      <c r="D73" s="63">
        <v>3.0009999999999999</v>
      </c>
      <c r="E73" s="63">
        <v>3.9689999999999999</v>
      </c>
      <c r="F73" s="63">
        <f t="shared" si="20"/>
        <v>2.9589999999999996</v>
      </c>
      <c r="G73" s="76">
        <f t="shared" si="21"/>
        <v>1.4193984454207591</v>
      </c>
      <c r="H73" s="63">
        <v>26.74</v>
      </c>
      <c r="I73" s="81">
        <v>45981</v>
      </c>
      <c r="J73" s="63">
        <v>11</v>
      </c>
      <c r="K73" s="63">
        <v>1</v>
      </c>
      <c r="L73" s="63">
        <f t="shared" si="22"/>
        <v>5.917999999999999E-2</v>
      </c>
      <c r="M73" s="63">
        <f t="shared" si="23"/>
        <v>0.59179999999999988</v>
      </c>
      <c r="N73" s="79">
        <v>0.49513888888888891</v>
      </c>
      <c r="O73" s="63">
        <v>4.5</v>
      </c>
      <c r="P73" s="63">
        <v>1.5</v>
      </c>
      <c r="Q73" s="63">
        <f t="shared" si="24"/>
        <v>0.17753999999999998</v>
      </c>
      <c r="R73" s="79">
        <f t="shared" si="25"/>
        <v>0.57847222222222228</v>
      </c>
      <c r="S73" s="87">
        <f t="shared" si="26"/>
        <v>0.19999999999999998</v>
      </c>
      <c r="T73" s="87">
        <f t="shared" si="27"/>
        <v>0.06</v>
      </c>
      <c r="U73" s="89">
        <f t="shared" si="28"/>
        <v>0.13999999999999999</v>
      </c>
      <c r="V73" s="89">
        <f t="shared" si="29"/>
        <v>0.8</v>
      </c>
    </row>
    <row r="74" spans="1:22" x14ac:dyDescent="0.25">
      <c r="A74" s="9" t="s">
        <v>441</v>
      </c>
      <c r="B74" s="63">
        <v>20</v>
      </c>
      <c r="C74" s="63">
        <v>1.296</v>
      </c>
      <c r="D74" s="63">
        <v>3.0230000000000001</v>
      </c>
      <c r="E74" s="63">
        <v>4.2469999999999999</v>
      </c>
      <c r="F74" s="63">
        <f t="shared" si="20"/>
        <v>2.9509999999999996</v>
      </c>
      <c r="G74" s="76">
        <f t="shared" si="21"/>
        <v>2.4398508980006954</v>
      </c>
      <c r="H74" s="63">
        <v>40.03</v>
      </c>
      <c r="I74" s="81">
        <v>45980</v>
      </c>
      <c r="J74" s="63">
        <v>24</v>
      </c>
      <c r="K74" s="63">
        <v>1</v>
      </c>
      <c r="L74" s="63">
        <f t="shared" si="22"/>
        <v>5.9019999999999989E-2</v>
      </c>
      <c r="M74" s="63">
        <f t="shared" si="23"/>
        <v>1.3574599999999997</v>
      </c>
      <c r="N74" s="79">
        <v>8.1250000000000003E-2</v>
      </c>
      <c r="O74" s="63">
        <v>11</v>
      </c>
      <c r="P74" s="63">
        <v>1</v>
      </c>
      <c r="Q74" s="63">
        <f t="shared" si="24"/>
        <v>0.59019999999999984</v>
      </c>
      <c r="R74" s="79">
        <f t="shared" si="25"/>
        <v>0.16458333333333333</v>
      </c>
      <c r="S74" s="87">
        <f t="shared" si="26"/>
        <v>0.45999999999999996</v>
      </c>
      <c r="T74" s="87">
        <f t="shared" si="27"/>
        <v>0.19999999999999998</v>
      </c>
      <c r="U74" s="89">
        <f t="shared" si="28"/>
        <v>0.26</v>
      </c>
      <c r="V74" s="89">
        <f t="shared" si="29"/>
        <v>0.54</v>
      </c>
    </row>
    <row r="75" spans="1:22" x14ac:dyDescent="0.25">
      <c r="A75" s="9" t="s">
        <v>409</v>
      </c>
      <c r="B75" s="63">
        <v>1</v>
      </c>
      <c r="C75" s="63">
        <v>0.95599999999999996</v>
      </c>
      <c r="D75" s="63">
        <v>3.012</v>
      </c>
      <c r="E75" s="63">
        <v>3.9260000000000002</v>
      </c>
      <c r="F75" s="63">
        <f t="shared" si="20"/>
        <v>2.97</v>
      </c>
      <c r="G75" s="76">
        <f t="shared" si="21"/>
        <v>1.4141414141414077</v>
      </c>
      <c r="H75" s="63">
        <v>40.06</v>
      </c>
      <c r="I75" s="81">
        <v>45980</v>
      </c>
      <c r="J75" s="63">
        <v>11.5</v>
      </c>
      <c r="K75" s="63">
        <v>1</v>
      </c>
      <c r="L75" s="63">
        <f t="shared" si="22"/>
        <v>5.9400000000000001E-2</v>
      </c>
      <c r="M75" s="63">
        <f t="shared" si="23"/>
        <v>0.62370000000000003</v>
      </c>
      <c r="N75" s="79">
        <v>6.5277777777777782E-2</v>
      </c>
      <c r="O75" s="63">
        <v>5</v>
      </c>
      <c r="P75" s="63">
        <v>1</v>
      </c>
      <c r="Q75" s="63">
        <f t="shared" si="24"/>
        <v>0.23760000000000001</v>
      </c>
      <c r="R75" s="79">
        <f t="shared" si="25"/>
        <v>0.14861111111111111</v>
      </c>
      <c r="S75" s="87">
        <f t="shared" si="26"/>
        <v>0.21</v>
      </c>
      <c r="T75" s="87">
        <f t="shared" si="27"/>
        <v>0.08</v>
      </c>
      <c r="U75" s="89">
        <f t="shared" si="28"/>
        <v>0.13</v>
      </c>
      <c r="V75" s="89">
        <f t="shared" si="29"/>
        <v>0.79</v>
      </c>
    </row>
    <row r="76" spans="1:22" x14ac:dyDescent="0.25">
      <c r="A76" s="9" t="s">
        <v>410</v>
      </c>
      <c r="B76" s="63">
        <v>2</v>
      </c>
      <c r="C76" s="63">
        <v>1.4350000000000001</v>
      </c>
      <c r="D76" s="63">
        <v>3.0030000000000001</v>
      </c>
      <c r="E76" s="63">
        <v>4.399</v>
      </c>
      <c r="F76" s="63">
        <f t="shared" si="20"/>
        <v>2.964</v>
      </c>
      <c r="G76" s="76">
        <f t="shared" si="21"/>
        <v>1.3157894736842155</v>
      </c>
      <c r="H76" s="63">
        <v>40.01</v>
      </c>
      <c r="I76" s="81">
        <v>45980</v>
      </c>
      <c r="J76" s="63">
        <v>12.5</v>
      </c>
      <c r="K76" s="63">
        <v>1</v>
      </c>
      <c r="L76" s="63">
        <f t="shared" si="22"/>
        <v>5.9279999999999999E-2</v>
      </c>
      <c r="M76" s="63">
        <f t="shared" si="23"/>
        <v>0.68171999999999999</v>
      </c>
      <c r="N76" s="79">
        <v>6.5972222222222224E-2</v>
      </c>
      <c r="O76" s="63">
        <v>5</v>
      </c>
      <c r="P76" s="63">
        <v>1</v>
      </c>
      <c r="Q76" s="63">
        <f t="shared" si="24"/>
        <v>0.23712</v>
      </c>
      <c r="R76" s="79">
        <f t="shared" si="25"/>
        <v>0.14930555555555555</v>
      </c>
      <c r="S76" s="87">
        <f t="shared" si="26"/>
        <v>0.23</v>
      </c>
      <c r="T76" s="87">
        <f t="shared" si="27"/>
        <v>0.08</v>
      </c>
      <c r="U76" s="89">
        <f t="shared" si="28"/>
        <v>0.15000000000000002</v>
      </c>
      <c r="V76" s="89">
        <f t="shared" si="29"/>
        <v>0.77</v>
      </c>
    </row>
    <row r="77" spans="1:22" x14ac:dyDescent="0.25">
      <c r="A77" s="9" t="s">
        <v>477</v>
      </c>
      <c r="B77" s="63">
        <v>22</v>
      </c>
      <c r="C77" s="63">
        <v>1.006</v>
      </c>
      <c r="D77" s="63">
        <v>3.0110000000000001</v>
      </c>
      <c r="E77" s="63">
        <v>3.97</v>
      </c>
      <c r="F77" s="63">
        <f t="shared" si="20"/>
        <v>2.9640000000000004</v>
      </c>
      <c r="G77" s="76">
        <f t="shared" si="21"/>
        <v>1.5856950067476283</v>
      </c>
      <c r="H77" s="63">
        <v>40.04</v>
      </c>
      <c r="I77" s="81">
        <v>45975</v>
      </c>
      <c r="J77" s="63">
        <v>14.5</v>
      </c>
      <c r="K77" s="63">
        <v>1.5</v>
      </c>
      <c r="L77" s="63">
        <f t="shared" ref="L77:L81" si="30">F77/50</f>
        <v>5.9280000000000006E-2</v>
      </c>
      <c r="M77" s="63">
        <f t="shared" ref="M77:M81" si="31">(J77-K77)*L77</f>
        <v>0.7706400000000001</v>
      </c>
      <c r="N77" s="79">
        <v>0.46250000000000002</v>
      </c>
      <c r="O77" s="63">
        <v>6.5</v>
      </c>
      <c r="P77" s="63">
        <v>1.5</v>
      </c>
      <c r="Q77" s="63">
        <f t="shared" si="24"/>
        <v>0.29640000000000005</v>
      </c>
      <c r="R77" s="79">
        <f t="shared" si="25"/>
        <v>0.54583333333333339</v>
      </c>
      <c r="S77" s="87">
        <f t="shared" si="26"/>
        <v>0.26</v>
      </c>
      <c r="T77" s="87">
        <f t="shared" si="27"/>
        <v>0.1</v>
      </c>
      <c r="U77" s="89">
        <f t="shared" ref="U77:U81" si="32">S77-T77</f>
        <v>0.16</v>
      </c>
      <c r="V77" s="89">
        <f t="shared" ref="V77:V81" si="33">1-S77</f>
        <v>0.74</v>
      </c>
    </row>
    <row r="78" spans="1:22" x14ac:dyDescent="0.25">
      <c r="A78" s="9" t="s">
        <v>478</v>
      </c>
      <c r="B78" s="63">
        <v>23</v>
      </c>
      <c r="C78" s="63">
        <v>1.0029999999999999</v>
      </c>
      <c r="D78" s="63">
        <v>3.0030000000000001</v>
      </c>
      <c r="E78" s="63">
        <v>3.9540000000000002</v>
      </c>
      <c r="F78" s="63">
        <f t="shared" si="20"/>
        <v>2.9510000000000005</v>
      </c>
      <c r="G78" s="76">
        <f t="shared" si="21"/>
        <v>1.7621145374449203</v>
      </c>
      <c r="H78" s="63">
        <v>40</v>
      </c>
      <c r="I78" s="81">
        <v>45975</v>
      </c>
      <c r="J78" s="63">
        <v>15</v>
      </c>
      <c r="K78" s="63">
        <v>1.5</v>
      </c>
      <c r="L78" s="63">
        <f t="shared" si="30"/>
        <v>5.902000000000001E-2</v>
      </c>
      <c r="M78" s="63">
        <f t="shared" si="31"/>
        <v>0.79677000000000009</v>
      </c>
      <c r="N78" s="79">
        <v>0.46319444444444446</v>
      </c>
      <c r="O78" s="63">
        <v>6.5</v>
      </c>
      <c r="P78" s="63">
        <v>1.5</v>
      </c>
      <c r="Q78" s="63">
        <f t="shared" si="24"/>
        <v>0.29510000000000003</v>
      </c>
      <c r="R78" s="79">
        <f t="shared" si="25"/>
        <v>0.54652777777777783</v>
      </c>
      <c r="S78" s="87">
        <f t="shared" si="26"/>
        <v>0.26999999999999996</v>
      </c>
      <c r="T78" s="87">
        <f t="shared" si="27"/>
        <v>9.9999999999999992E-2</v>
      </c>
      <c r="U78" s="89">
        <f t="shared" si="32"/>
        <v>0.16999999999999998</v>
      </c>
      <c r="V78" s="89">
        <f t="shared" si="33"/>
        <v>0.73</v>
      </c>
    </row>
    <row r="79" spans="1:22" x14ac:dyDescent="0.25">
      <c r="A79" s="9" t="s">
        <v>479</v>
      </c>
      <c r="B79" s="63">
        <v>24</v>
      </c>
      <c r="C79" s="63">
        <v>0.996</v>
      </c>
      <c r="D79" s="63">
        <v>3.008</v>
      </c>
      <c r="E79" s="63">
        <v>3.95</v>
      </c>
      <c r="F79" s="63">
        <f t="shared" si="20"/>
        <v>2.9540000000000002</v>
      </c>
      <c r="G79" s="76">
        <f t="shared" si="21"/>
        <v>1.8280297901150921</v>
      </c>
      <c r="H79" s="63">
        <v>40.06</v>
      </c>
      <c r="I79" s="81">
        <v>45975</v>
      </c>
      <c r="J79" s="63">
        <v>16.5</v>
      </c>
      <c r="K79" s="63">
        <v>1.5</v>
      </c>
      <c r="L79" s="63">
        <f t="shared" si="30"/>
        <v>5.9080000000000001E-2</v>
      </c>
      <c r="M79" s="63">
        <f t="shared" si="31"/>
        <v>0.88619999999999999</v>
      </c>
      <c r="N79" s="79">
        <v>0.46458333333333335</v>
      </c>
      <c r="O79" s="63">
        <v>7.5</v>
      </c>
      <c r="P79" s="63">
        <v>1.5</v>
      </c>
      <c r="Q79" s="63">
        <f t="shared" si="24"/>
        <v>0.35448000000000002</v>
      </c>
      <c r="R79" s="79">
        <f t="shared" si="25"/>
        <v>0.54791666666666672</v>
      </c>
      <c r="S79" s="87">
        <f t="shared" si="26"/>
        <v>0.3</v>
      </c>
      <c r="T79" s="87">
        <f t="shared" si="27"/>
        <v>0.12</v>
      </c>
      <c r="U79" s="89">
        <f t="shared" si="32"/>
        <v>0.18</v>
      </c>
      <c r="V79" s="89">
        <f t="shared" si="33"/>
        <v>0.7</v>
      </c>
    </row>
    <row r="80" spans="1:22" x14ac:dyDescent="0.25">
      <c r="A80" s="9" t="s">
        <v>480</v>
      </c>
      <c r="B80" s="63">
        <v>25</v>
      </c>
      <c r="C80" s="63">
        <v>1.0129999999999999</v>
      </c>
      <c r="D80" s="63">
        <v>3.016</v>
      </c>
      <c r="E80" s="63">
        <v>3.976</v>
      </c>
      <c r="F80" s="63">
        <f t="shared" si="20"/>
        <v>2.9630000000000001</v>
      </c>
      <c r="G80" s="76">
        <f t="shared" si="21"/>
        <v>1.7887276409044865</v>
      </c>
      <c r="H80" s="63">
        <v>40.090000000000003</v>
      </c>
      <c r="I80" s="81">
        <v>45975</v>
      </c>
      <c r="J80" s="63">
        <v>16</v>
      </c>
      <c r="K80" s="63">
        <v>1.5</v>
      </c>
      <c r="L80" s="63">
        <f t="shared" si="30"/>
        <v>5.926E-2</v>
      </c>
      <c r="M80" s="63">
        <f t="shared" si="31"/>
        <v>0.85926999999999998</v>
      </c>
      <c r="N80" s="79">
        <v>0.46597222222222223</v>
      </c>
      <c r="O80" s="63">
        <v>7</v>
      </c>
      <c r="P80" s="63">
        <v>1.5</v>
      </c>
      <c r="Q80" s="63">
        <f t="shared" si="24"/>
        <v>0.32593</v>
      </c>
      <c r="R80" s="79">
        <f t="shared" si="25"/>
        <v>0.5493055555555556</v>
      </c>
      <c r="S80" s="87">
        <f t="shared" si="26"/>
        <v>0.28999999999999998</v>
      </c>
      <c r="T80" s="87">
        <f t="shared" si="27"/>
        <v>0.11</v>
      </c>
      <c r="U80" s="89">
        <f t="shared" si="32"/>
        <v>0.18</v>
      </c>
      <c r="V80" s="89">
        <f t="shared" si="33"/>
        <v>0.71</v>
      </c>
    </row>
    <row r="81" spans="1:22" x14ac:dyDescent="0.25">
      <c r="A81" s="9" t="s">
        <v>455</v>
      </c>
      <c r="B81" s="63">
        <v>26</v>
      </c>
      <c r="C81" s="63">
        <v>1.0089999999999999</v>
      </c>
      <c r="D81" s="63">
        <v>3.028</v>
      </c>
      <c r="E81" s="63">
        <v>3.9590000000000001</v>
      </c>
      <c r="F81" s="63">
        <f t="shared" si="20"/>
        <v>2.95</v>
      </c>
      <c r="G81" s="76">
        <f t="shared" si="21"/>
        <v>2.6440677966101642</v>
      </c>
      <c r="H81" s="63">
        <v>39.99</v>
      </c>
      <c r="I81" s="81">
        <v>45975</v>
      </c>
      <c r="J81" s="63">
        <v>16</v>
      </c>
      <c r="K81" s="63">
        <v>1.5</v>
      </c>
      <c r="L81" s="63">
        <f t="shared" si="30"/>
        <v>5.9000000000000004E-2</v>
      </c>
      <c r="M81" s="63">
        <f t="shared" si="31"/>
        <v>0.85550000000000004</v>
      </c>
      <c r="N81" s="79">
        <v>0.46736111111111112</v>
      </c>
      <c r="O81" s="63">
        <v>6.5</v>
      </c>
      <c r="P81" s="63">
        <v>1.5</v>
      </c>
      <c r="Q81" s="63">
        <f t="shared" si="24"/>
        <v>0.29500000000000004</v>
      </c>
      <c r="R81" s="79">
        <f t="shared" si="25"/>
        <v>0.55069444444444449</v>
      </c>
      <c r="S81" s="87">
        <f t="shared" si="26"/>
        <v>0.28999999999999998</v>
      </c>
      <c r="T81" s="87">
        <f t="shared" si="27"/>
        <v>0.1</v>
      </c>
      <c r="U81" s="89">
        <f t="shared" si="32"/>
        <v>0.18999999999999997</v>
      </c>
      <c r="V81" s="89">
        <f t="shared" si="33"/>
        <v>0.71</v>
      </c>
    </row>
  </sheetData>
  <autoFilter ref="A1:R81" xr:uid="{CBA3B98C-6E0C-47E1-99D7-7015FE79B1A5}"/>
  <sortState xmlns:xlrd2="http://schemas.microsoft.com/office/spreadsheetml/2017/richdata2" ref="A5:W73">
    <sortCondition ref="B2:B81"/>
  </sortState>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 Data</vt:lpstr>
      <vt:lpstr>Recombined Samples</vt:lpstr>
      <vt:lpstr>Shaker Time Test</vt:lpstr>
      <vt:lpstr>pH&amp;EC</vt:lpstr>
      <vt:lpstr>Texture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Ford</dc:creator>
  <cp:lastModifiedBy>Ford,Ashley</cp:lastModifiedBy>
  <cp:lastPrinted>2025-09-30T18:30:42Z</cp:lastPrinted>
  <dcterms:created xsi:type="dcterms:W3CDTF">2025-08-15T13:19:45Z</dcterms:created>
  <dcterms:modified xsi:type="dcterms:W3CDTF">2025-11-21T21:41:40Z</dcterms:modified>
</cp:coreProperties>
</file>